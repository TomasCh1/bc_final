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ento_zošit"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82479790-1EC8-4CED-8F85-05C30C50D95B}" xr6:coauthVersionLast="47" xr6:coauthVersionMax="47" xr10:uidLastSave="{00000000-0000-0000-0000-000000000000}"/>
  <bookViews>
    <workbookView xWindow="-110" yWindow="-110" windowWidth="38620" windowHeight="21100" xr2:uid="{70AFB817-7DB0-48CD-AD36-55CA20F43E57}"/>
  </bookViews>
  <sheets>
    <sheet name="Štatistiky" sheetId="1" r:id="rId1"/>
    <sheet name="Záznamový formulár" sheetId="11" r:id="rId2"/>
    <sheet name="Usmernenie" sheetId="12" r:id="rId3"/>
    <sheet name="Verzie" sheetId="10" r:id="rId4"/>
    <sheet name="Príklad vyplnenia" sheetId="1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15" l="1"/>
  <c r="E54" i="15"/>
  <c r="E53" i="15"/>
  <c r="E52" i="15"/>
  <c r="E51" i="15"/>
  <c r="N49" i="15"/>
  <c r="D49" i="15"/>
  <c r="N48" i="15"/>
  <c r="D48" i="15"/>
  <c r="Y37" i="15"/>
  <c r="X37" i="15"/>
  <c r="W37" i="15"/>
  <c r="V37" i="15"/>
  <c r="U37" i="15"/>
  <c r="T37" i="15"/>
  <c r="S37" i="15"/>
  <c r="R37" i="15"/>
  <c r="O37" i="15"/>
  <c r="N37" i="15"/>
  <c r="I37" i="15"/>
  <c r="H37" i="15"/>
  <c r="F37" i="15"/>
  <c r="E37" i="15"/>
  <c r="D37" i="15"/>
  <c r="Z35" i="15"/>
  <c r="Q35" i="15"/>
  <c r="P35" i="15"/>
  <c r="L35" i="15"/>
  <c r="K35" i="15"/>
  <c r="M35" i="15" s="1"/>
  <c r="J35" i="15"/>
  <c r="G35" i="15"/>
  <c r="Q34" i="15"/>
  <c r="P34" i="15"/>
  <c r="L34" i="15"/>
  <c r="K34" i="15"/>
  <c r="Z34" i="15" s="1"/>
  <c r="J34" i="15"/>
  <c r="G34" i="15"/>
  <c r="Z33" i="15"/>
  <c r="Q33" i="15"/>
  <c r="P33" i="15"/>
  <c r="L33" i="15"/>
  <c r="K33" i="15"/>
  <c r="M33" i="15" s="1"/>
  <c r="J33" i="15"/>
  <c r="G33" i="15"/>
  <c r="Z32" i="15"/>
  <c r="Q32" i="15"/>
  <c r="P32" i="15"/>
  <c r="L32" i="15"/>
  <c r="K32" i="15"/>
  <c r="M32" i="15" s="1"/>
  <c r="J32" i="15"/>
  <c r="G32" i="15"/>
  <c r="Z31" i="15"/>
  <c r="Q31" i="15"/>
  <c r="P31" i="15"/>
  <c r="L31" i="15"/>
  <c r="K31" i="15"/>
  <c r="M31" i="15" s="1"/>
  <c r="J31" i="15"/>
  <c r="G31" i="15"/>
  <c r="Z30" i="15"/>
  <c r="Q30" i="15"/>
  <c r="P30" i="15"/>
  <c r="L30" i="15"/>
  <c r="K30" i="15"/>
  <c r="M30" i="15" s="1"/>
  <c r="J30" i="15"/>
  <c r="G30" i="15"/>
  <c r="Z29" i="15"/>
  <c r="Q29" i="15"/>
  <c r="P29" i="15"/>
  <c r="L29" i="15"/>
  <c r="K29" i="15"/>
  <c r="M29" i="15" s="1"/>
  <c r="J29" i="15"/>
  <c r="G29" i="15"/>
  <c r="Z28" i="15"/>
  <c r="Q28" i="15"/>
  <c r="P28" i="15"/>
  <c r="L28" i="15"/>
  <c r="K28" i="15"/>
  <c r="M28" i="15" s="1"/>
  <c r="J28" i="15"/>
  <c r="G28" i="15"/>
  <c r="Z27" i="15"/>
  <c r="Q27" i="15"/>
  <c r="P27" i="15"/>
  <c r="L27" i="15"/>
  <c r="K27" i="15"/>
  <c r="M27" i="15" s="1"/>
  <c r="J27" i="15"/>
  <c r="G27" i="15"/>
  <c r="Z26" i="15"/>
  <c r="Q26" i="15"/>
  <c r="P26" i="15"/>
  <c r="L26" i="15"/>
  <c r="K26" i="15"/>
  <c r="M26" i="15" s="1"/>
  <c r="J26" i="15"/>
  <c r="G26" i="15"/>
  <c r="Z25" i="15"/>
  <c r="Q25" i="15"/>
  <c r="P25" i="15"/>
  <c r="L25" i="15"/>
  <c r="K25" i="15"/>
  <c r="M25" i="15" s="1"/>
  <c r="J25" i="15"/>
  <c r="G25" i="15"/>
  <c r="Q24" i="15"/>
  <c r="P24" i="15"/>
  <c r="L24" i="15"/>
  <c r="K24" i="15"/>
  <c r="J24" i="15"/>
  <c r="G24" i="15"/>
  <c r="Q23" i="15"/>
  <c r="P23" i="15"/>
  <c r="L23" i="15"/>
  <c r="K23" i="15"/>
  <c r="J23" i="15"/>
  <c r="G23" i="15"/>
  <c r="Q22" i="15"/>
  <c r="Z22" i="15" s="1"/>
  <c r="P22" i="15"/>
  <c r="L22" i="15"/>
  <c r="K22" i="15"/>
  <c r="M22" i="15" s="1"/>
  <c r="J22" i="15"/>
  <c r="G22" i="15"/>
  <c r="Q21" i="15"/>
  <c r="P21" i="15"/>
  <c r="L21" i="15"/>
  <c r="K21" i="15"/>
  <c r="J21" i="15"/>
  <c r="G21" i="15"/>
  <c r="Q20" i="15"/>
  <c r="P20" i="15"/>
  <c r="L20" i="15"/>
  <c r="K20" i="15"/>
  <c r="J20" i="15"/>
  <c r="G20" i="15"/>
  <c r="Q19" i="15"/>
  <c r="P19" i="15"/>
  <c r="L19" i="15"/>
  <c r="K19" i="15"/>
  <c r="J19" i="15"/>
  <c r="G19" i="15"/>
  <c r="Q18" i="15"/>
  <c r="P18" i="15"/>
  <c r="L18" i="15"/>
  <c r="K18" i="15"/>
  <c r="J18" i="15"/>
  <c r="G18" i="15"/>
  <c r="Q17" i="15"/>
  <c r="Z17" i="15" s="1"/>
  <c r="P17" i="15"/>
  <c r="L17" i="15"/>
  <c r="K17" i="15"/>
  <c r="J17" i="15"/>
  <c r="G17" i="15"/>
  <c r="Q16" i="15"/>
  <c r="P16" i="15"/>
  <c r="L16" i="15"/>
  <c r="K16" i="15"/>
  <c r="J16" i="15"/>
  <c r="G16" i="15"/>
  <c r="AA8" i="15"/>
  <c r="AA7" i="15"/>
  <c r="Y37" i="1"/>
  <c r="K22" i="1"/>
  <c r="L22" i="1"/>
  <c r="P22" i="1"/>
  <c r="Q22" i="1"/>
  <c r="K23" i="1"/>
  <c r="L23" i="1"/>
  <c r="P23" i="1"/>
  <c r="Q23" i="1"/>
  <c r="Z23" i="1" s="1"/>
  <c r="K24" i="1"/>
  <c r="L24" i="1"/>
  <c r="P24" i="1"/>
  <c r="Q24" i="1"/>
  <c r="K25" i="1"/>
  <c r="L25" i="1"/>
  <c r="P25" i="1"/>
  <c r="Q25" i="1"/>
  <c r="K26" i="1"/>
  <c r="L26" i="1"/>
  <c r="P26" i="1"/>
  <c r="Q26" i="1"/>
  <c r="J22" i="1"/>
  <c r="J23" i="1"/>
  <c r="J24" i="1"/>
  <c r="J25" i="1"/>
  <c r="J26" i="1"/>
  <c r="G22" i="1"/>
  <c r="G23" i="1"/>
  <c r="G24" i="1"/>
  <c r="G25" i="1"/>
  <c r="G26" i="1"/>
  <c r="G27" i="1"/>
  <c r="AA7" i="1"/>
  <c r="AA8" i="1"/>
  <c r="Z24" i="1" l="1"/>
  <c r="Z26" i="1"/>
  <c r="Z22" i="1"/>
  <c r="P37" i="15"/>
  <c r="M24" i="15"/>
  <c r="J37" i="15"/>
  <c r="Z24" i="15"/>
  <c r="M23" i="15"/>
  <c r="Z23" i="15"/>
  <c r="Z21" i="15"/>
  <c r="M21" i="15"/>
  <c r="M20" i="15"/>
  <c r="Z20" i="15"/>
  <c r="M19" i="15"/>
  <c r="Z19" i="15"/>
  <c r="M18" i="15"/>
  <c r="Z18" i="15"/>
  <c r="L37" i="15"/>
  <c r="M17" i="15"/>
  <c r="G37" i="15"/>
  <c r="K37" i="15"/>
  <c r="Q37" i="15"/>
  <c r="Z16" i="15"/>
  <c r="M16" i="15"/>
  <c r="M34" i="15"/>
  <c r="M25" i="1"/>
  <c r="M22" i="1"/>
  <c r="Z25" i="1"/>
  <c r="M23" i="1"/>
  <c r="M26" i="1"/>
  <c r="M24" i="1"/>
  <c r="E55" i="1"/>
  <c r="E53" i="1"/>
  <c r="D37" i="1"/>
  <c r="E54" i="1"/>
  <c r="J16" i="1"/>
  <c r="P16" i="1"/>
  <c r="P35" i="1"/>
  <c r="P34" i="1"/>
  <c r="P33" i="1"/>
  <c r="P32" i="1"/>
  <c r="P31" i="1"/>
  <c r="P30" i="1"/>
  <c r="P29" i="1"/>
  <c r="P28" i="1"/>
  <c r="P27" i="1"/>
  <c r="P21" i="1"/>
  <c r="P20" i="1"/>
  <c r="P19" i="1"/>
  <c r="P18" i="1"/>
  <c r="P17" i="1"/>
  <c r="J35" i="1"/>
  <c r="J34" i="1"/>
  <c r="J33" i="1"/>
  <c r="J32" i="1"/>
  <c r="J31" i="1"/>
  <c r="J30" i="1"/>
  <c r="J29" i="1"/>
  <c r="J28" i="1"/>
  <c r="J27" i="1"/>
  <c r="J21" i="1"/>
  <c r="J20" i="1"/>
  <c r="J19" i="1"/>
  <c r="J18" i="1"/>
  <c r="J17" i="1"/>
  <c r="G17" i="1"/>
  <c r="G18" i="1"/>
  <c r="G19" i="1"/>
  <c r="G20" i="1"/>
  <c r="G21" i="1"/>
  <c r="G28" i="1"/>
  <c r="G29" i="1"/>
  <c r="G30" i="1"/>
  <c r="G31" i="1"/>
  <c r="G32" i="1"/>
  <c r="G33" i="1"/>
  <c r="G34" i="1"/>
  <c r="G35" i="1"/>
  <c r="G16" i="1"/>
  <c r="X37" i="1"/>
  <c r="K16" i="1"/>
  <c r="L16" i="1"/>
  <c r="Q19" i="1"/>
  <c r="Q16" i="1"/>
  <c r="Q17" i="1"/>
  <c r="Q18" i="1"/>
  <c r="Q20" i="1"/>
  <c r="Q21" i="1"/>
  <c r="Q27" i="1"/>
  <c r="Q28" i="1"/>
  <c r="Q29" i="1"/>
  <c r="Q30" i="1"/>
  <c r="Q31" i="1"/>
  <c r="Q32" i="1"/>
  <c r="Q33" i="1"/>
  <c r="Q34" i="1"/>
  <c r="Q35" i="1"/>
  <c r="E52" i="1"/>
  <c r="E51" i="1"/>
  <c r="N49" i="1"/>
  <c r="N48" i="1"/>
  <c r="D49" i="1"/>
  <c r="D48" i="1"/>
  <c r="K33" i="1"/>
  <c r="L33" i="1"/>
  <c r="W37" i="1"/>
  <c r="T37" i="1"/>
  <c r="U37" i="1"/>
  <c r="V37" i="1"/>
  <c r="S37" i="1"/>
  <c r="R37" i="1"/>
  <c r="N37" i="1"/>
  <c r="O37" i="1"/>
  <c r="L21" i="1"/>
  <c r="L27" i="1"/>
  <c r="L28" i="1"/>
  <c r="L29" i="1"/>
  <c r="L30" i="1"/>
  <c r="L31" i="1"/>
  <c r="L32" i="1"/>
  <c r="L34" i="1"/>
  <c r="L35" i="1"/>
  <c r="L17" i="1"/>
  <c r="L18" i="1"/>
  <c r="L19" i="1"/>
  <c r="L20" i="1"/>
  <c r="K35" i="1"/>
  <c r="K28" i="1"/>
  <c r="K29" i="1"/>
  <c r="K30" i="1"/>
  <c r="K31" i="1"/>
  <c r="K32" i="1"/>
  <c r="K34" i="1"/>
  <c r="K27" i="1"/>
  <c r="K21" i="1"/>
  <c r="K20" i="1"/>
  <c r="K18" i="1"/>
  <c r="K19" i="1"/>
  <c r="K17" i="1"/>
  <c r="I37" i="1"/>
  <c r="H37" i="1"/>
  <c r="F37" i="1"/>
  <c r="E37" i="1"/>
  <c r="Z37" i="15" l="1"/>
  <c r="M37" i="15"/>
  <c r="M27" i="1"/>
  <c r="Z18" i="1"/>
  <c r="M32" i="1"/>
  <c r="M34" i="1"/>
  <c r="Z29" i="1"/>
  <c r="P37" i="1"/>
  <c r="M35" i="1"/>
  <c r="M30" i="1"/>
  <c r="M29" i="1"/>
  <c r="M33" i="1"/>
  <c r="Z30" i="1"/>
  <c r="M28" i="1"/>
  <c r="Q37" i="1"/>
  <c r="M21" i="1"/>
  <c r="Z21" i="1"/>
  <c r="G37" i="1"/>
  <c r="Z33" i="1"/>
  <c r="Z28" i="1"/>
  <c r="Z34" i="1"/>
  <c r="Z32" i="1"/>
  <c r="Z35" i="1"/>
  <c r="Z27" i="1"/>
  <c r="Z31" i="1"/>
  <c r="M18" i="1"/>
  <c r="M17" i="1"/>
  <c r="Z20" i="1"/>
  <c r="M20" i="1"/>
  <c r="Z19" i="1"/>
  <c r="J37" i="1"/>
  <c r="M19" i="1"/>
  <c r="M16" i="1"/>
  <c r="M31" i="1"/>
  <c r="Z17" i="1"/>
  <c r="Z16" i="1"/>
  <c r="L37" i="1"/>
  <c r="K37" i="1"/>
  <c r="M37" i="1" l="1"/>
  <c r="Z37" i="1"/>
</calcChain>
</file>

<file path=xl/sharedStrings.xml><?xml version="1.0" encoding="utf-8"?>
<sst xmlns="http://schemas.openxmlformats.org/spreadsheetml/2006/main" count="506" uniqueCount="248">
  <si>
    <t>VYHODNOTENIE STREĽBY</t>
  </si>
  <si>
    <t>MIN</t>
  </si>
  <si>
    <t>2P</t>
  </si>
  <si>
    <t>3P</t>
  </si>
  <si>
    <t>FG</t>
  </si>
  <si>
    <t>FT</t>
  </si>
  <si>
    <t>Ú</t>
  </si>
  <si>
    <t>C</t>
  </si>
  <si>
    <t>%</t>
  </si>
  <si>
    <t>PRIEZVISKO A MENO HRÁČA</t>
  </si>
  <si>
    <t>ČÍSLO HRÁČA</t>
  </si>
  <si>
    <t>PTS</t>
  </si>
  <si>
    <t>OFF</t>
  </si>
  <si>
    <t>DEF</t>
  </si>
  <si>
    <t>AST</t>
  </si>
  <si>
    <t>TO</t>
  </si>
  <si>
    <t>STL</t>
  </si>
  <si>
    <t>BLK</t>
  </si>
  <si>
    <t>PF</t>
  </si>
  <si>
    <t>FLS ON</t>
  </si>
  <si>
    <t>INDEX</t>
  </si>
  <si>
    <t>VYHODNOTENIE HERNEJ ŠTATISTKY</t>
  </si>
  <si>
    <t>:</t>
  </si>
  <si>
    <t>DOMÁCI</t>
  </si>
  <si>
    <t>HOSTIA</t>
  </si>
  <si>
    <t>ČÍSLO STRETNUTIA</t>
  </si>
  <si>
    <t>DÁTUM</t>
  </si>
  <si>
    <t>SÚŤAŽ</t>
  </si>
  <si>
    <t>SPRACOVAL</t>
  </si>
  <si>
    <t>POZOROVANÉ DRUŽSTVO</t>
  </si>
  <si>
    <t>KONEČNÝ VÝSLEDOK</t>
  </si>
  <si>
    <t>STAV PO 1. ŠTVRTINE</t>
  </si>
  <si>
    <t>STAV PREDĹŽENIA</t>
  </si>
  <si>
    <t>STAV PO 4. ŠTVRTINE</t>
  </si>
  <si>
    <t>STAV PO 3. ŠTVRTINE</t>
  </si>
  <si>
    <t>STAV PO 2. ŠTVRTINE</t>
  </si>
  <si>
    <t xml:space="preserve">DRUŽSTVO </t>
  </si>
  <si>
    <t xml:space="preserve">DRUŽSTVO SPOLU </t>
  </si>
  <si>
    <t>2P - streľba za 2 body</t>
  </si>
  <si>
    <t>3P - streľba za 3 body</t>
  </si>
  <si>
    <t>FT - trestné hody</t>
  </si>
  <si>
    <t>FG - streľba spolu (2P + 3P)</t>
  </si>
  <si>
    <t>AST - asistencie</t>
  </si>
  <si>
    <t>PTS - dosiahnuté body</t>
  </si>
  <si>
    <t>OFF - doskok útočný</t>
  </si>
  <si>
    <t>DEF - doskok obranný</t>
  </si>
  <si>
    <t>TO - stratené lopty</t>
  </si>
  <si>
    <t>STL - získané lopty</t>
  </si>
  <si>
    <t>BLK - blokované strely</t>
  </si>
  <si>
    <t>FLS ON - získané fauly</t>
  </si>
  <si>
    <t>INDEX - herná produktivita</t>
  </si>
  <si>
    <t>MIN - odohratý čas hráča (zaokrúhlovať od ##:3# hore, do ##:2# dole)</t>
  </si>
  <si>
    <t>HODNOTENIE ROZHODCOV</t>
  </si>
  <si>
    <t>PRIEZVISKO A MENO ROZHODCU</t>
  </si>
  <si>
    <t>ZNÁMKA</t>
  </si>
  <si>
    <t>PÍSOMNÉ HODNOTENIE ROZHODCOV</t>
  </si>
  <si>
    <t>ZÁPAS:</t>
  </si>
  <si>
    <t>DÁTUM:</t>
  </si>
  <si>
    <t>ČAS:</t>
  </si>
  <si>
    <t>MIESTO:</t>
  </si>
  <si>
    <t>POZNÁMKA:</t>
  </si>
  <si>
    <t>konečný výsledok</t>
  </si>
  <si>
    <t>stav</t>
  </si>
  <si>
    <t>striedania</t>
  </si>
  <si>
    <t>fauly družstiev</t>
  </si>
  <si>
    <t>vlastné</t>
  </si>
  <si>
    <t>súper</t>
  </si>
  <si>
    <t>fauly hráčov</t>
  </si>
  <si>
    <t>ZÁZNAMOVÝ FORMULÁR HERNEJ ŠTATISTKY DRUŽSTVA</t>
  </si>
  <si>
    <t>stav po 1. štvrtine</t>
  </si>
  <si>
    <t>stav 4. štvrtiny</t>
  </si>
  <si>
    <t>stav po 3. štvrtine</t>
  </si>
  <si>
    <t>stav 2. štvrtiny</t>
  </si>
  <si>
    <t>stav po 2. štvrtine</t>
  </si>
  <si>
    <t>stav 3. štvrtiny</t>
  </si>
  <si>
    <t># hráča</t>
  </si>
  <si>
    <t>pokusy</t>
  </si>
  <si>
    <t>úspešné</t>
  </si>
  <si>
    <t>S</t>
  </si>
  <si>
    <t>min</t>
  </si>
  <si>
    <t>Číslo verzie</t>
  </si>
  <si>
    <t>Dátum</t>
  </si>
  <si>
    <t>Popis</t>
  </si>
  <si>
    <t>1.1.1</t>
  </si>
  <si>
    <t>1.1.2</t>
  </si>
  <si>
    <t>2.0</t>
  </si>
  <si>
    <t>25.08.2012</t>
  </si>
  <si>
    <t>09.09.2014</t>
  </si>
  <si>
    <t>19.09.2012</t>
  </si>
  <si>
    <t>1.7.2023</t>
  </si>
  <si>
    <t>Prvá verzia nového formuláru</t>
  </si>
  <si>
    <t>Oprava vyhodnotenia hernej štatistiky, oprava zobrazenia dátumu pri hodnotení rozhodcov</t>
  </si>
  <si>
    <t>Zmena v hodnotení rozhodcov pôvodne 1-5, teraz sa hodnotí 1-10 pričom 10 je najlepšie hodnotenie</t>
  </si>
  <si>
    <t>p. Jozef Juhász</t>
  </si>
  <si>
    <t>p. Štefan Kubík</t>
  </si>
  <si>
    <t>p. Samuel Pacala</t>
  </si>
  <si>
    <t>Nahlásil / zmeny vykonal</t>
  </si>
  <si>
    <t>2P:</t>
  </si>
  <si>
    <t>3P:</t>
  </si>
  <si>
    <t>Niké Extraliga ženy</t>
  </si>
  <si>
    <t>Slovenský pohár muži</t>
  </si>
  <si>
    <t>Slovenský pohár ženy</t>
  </si>
  <si>
    <t>Juniori U19</t>
  </si>
  <si>
    <t>Kadeti U17</t>
  </si>
  <si>
    <t>Kadetky U17</t>
  </si>
  <si>
    <t>Starší žiaci U15</t>
  </si>
  <si>
    <t>Staršie žiačky U15</t>
  </si>
  <si>
    <t>Žiaci U14</t>
  </si>
  <si>
    <t>Žiačky U14</t>
  </si>
  <si>
    <t>Mladší žiaci U13</t>
  </si>
  <si>
    <t>Mladšie žiačky U13</t>
  </si>
  <si>
    <t>Starší minižiaci U12</t>
  </si>
  <si>
    <t>Staršie minižiačky U12</t>
  </si>
  <si>
    <t>Mladší minižiaci U11</t>
  </si>
  <si>
    <t>Mladšie minižiačky U11</t>
  </si>
  <si>
    <t>Mikroliga U10 chlapci</t>
  </si>
  <si>
    <t>Mikroliga U10 dievčatá</t>
  </si>
  <si>
    <t>2023/24</t>
  </si>
  <si>
    <t>Formulár vytvorený pre h.o. 2023/24. Slovenská basketbalová asociácia, Trnavská cesta 37, 831 04 Bratislava, sutaze@slovakbasket.sk</t>
  </si>
  <si>
    <t>Niké Slovenská basketbalová liga</t>
  </si>
  <si>
    <t>1. liga muži a 1. liga Mladí muži U23</t>
  </si>
  <si>
    <t>2. liga muži a 2. liga Mladí muži U23</t>
  </si>
  <si>
    <t>1. liga ženy, U23 a U19</t>
  </si>
  <si>
    <t>1</t>
  </si>
  <si>
    <t>2</t>
  </si>
  <si>
    <t>3</t>
  </si>
  <si>
    <t>4</t>
  </si>
  <si>
    <t>5</t>
  </si>
  <si>
    <t>7</t>
  </si>
  <si>
    <t>Do formulára sa vpisuje len do bielych políčok ostatné sa vypočítavajú automaticky a sú zablokované. Príklad vyplnenia je na zošite "Príklad vyplnenia". Na formulári sú priebežné kontroly a v prípade nesprávneho vyplnenia sa dané políčko zobrazí červene. Poliaľ je niektoré políčko červené, tak formulár nie je správne vyplnený. V prípade že družstvo neodohralo 200 min čas sa zobrazí na červeno (družstvo nedohralo s piatimi hráčmi) takáto štatistika je správna aj s červenou farbou času.</t>
  </si>
  <si>
    <t>Po formulári je vhodné sa pohybovať pomocou klávesy "Tab" - tabulátor, automaticky prechádza políčkami, ktoré je potrebné vyplniť.</t>
  </si>
  <si>
    <t>domáci</t>
  </si>
  <si>
    <t>hostia</t>
  </si>
  <si>
    <t>výsledok domáci</t>
  </si>
  <si>
    <t>výsledok hostia</t>
  </si>
  <si>
    <t>číslo stretnutia</t>
  </si>
  <si>
    <t>dátum</t>
  </si>
  <si>
    <t>súťaž</t>
  </si>
  <si>
    <t>spracoval</t>
  </si>
  <si>
    <t>pozorované družstvo</t>
  </si>
  <si>
    <t>názov družstva domácich - zo zápisu o stretnutí</t>
  </si>
  <si>
    <t>názov družstva hostí - zo zápisu o stretnutí</t>
  </si>
  <si>
    <t>dosiahnutý počet bodov domácich - zo zápisu o stretnutí</t>
  </si>
  <si>
    <t>dosiahnutý počet bodov hostí - zo zápisu o stretnutí</t>
  </si>
  <si>
    <t>vypisuje sa číslo stretnutia zo záznamu o stretnutí, alebo na stránke www.slovakbasket.sk</t>
  </si>
  <si>
    <t>priezvisko a meno</t>
  </si>
  <si>
    <t>zo zápisu o stretnutí, alebo nabehnutím na políčko sa zobrazia skratky jednotlivých súťaží</t>
  </si>
  <si>
    <t>dátum odohratia zápasu</t>
  </si>
  <si>
    <t>názov pozorovaného družstva (jedna z možností domáci alebo hostia)</t>
  </si>
  <si>
    <t>stavy stretnutí</t>
  </si>
  <si>
    <t>vypisuje sa vždy stav po danej štvrtine a nie stav štvrtiny, ináč budú políčka červené stav po 4. štvrtine musí byť zhodný s výsledkom, poprípade plus predĺženie.</t>
  </si>
  <si>
    <t>ŠTATISTIKY HRÁČOV</t>
  </si>
  <si>
    <t>Priezvisko a meno</t>
  </si>
  <si>
    <t>Zapisuje sa v poradí priezvisko a celé meno hráča napr. HRAŠKO Ján (nie zdrobneliny a prezývky napr. Domča)</t>
  </si>
  <si>
    <t>Odohratý čas na celé minúty</t>
  </si>
  <si>
    <t>streľba</t>
  </si>
  <si>
    <t>zadáva sa počet úspešných a celkových (úspešné plus neúspešné) pokusov (počet úspešných musí byť menší alebo rovný ako celkových)
percentuálna streľba a celková streľba sa automaticky vypočítava, body sa automaticky vypočítavajú a suma bodov musí byť rovná s výsledkom domácich alebo hostí</t>
  </si>
  <si>
    <t>herná produktivita</t>
  </si>
  <si>
    <t>vypočítava sa automaticky</t>
  </si>
  <si>
    <t>individuálne činnosti</t>
  </si>
  <si>
    <t>zaznamenávajú sa podľa interpretácie herných štatistík</t>
  </si>
  <si>
    <t>fauly hráča</t>
  </si>
  <si>
    <t>zaznamenávajú sa osobné chyby maximálne 5, nešpecifikujú sa Technické, Diskvalifikačné... Chyby technická, nešportová, diskvalifikačná chyba sa zapíše len ako ďalšia osobná chyba hráča.</t>
  </si>
  <si>
    <t>Všetky atribúty stretnutia sa prenesú zo zápasu automaticky</t>
  </si>
  <si>
    <t>Vyplňuje sa priezvisko a meno 1., 2. a 3. rozhodcu zo zápisu o stretnutí</t>
  </si>
  <si>
    <t>známka</t>
  </si>
  <si>
    <t>pridelená známka pre každého rozhodcu</t>
  </si>
  <si>
    <r>
      <rPr>
        <b/>
        <sz val="11"/>
        <color theme="1"/>
        <rFont val="Calibri"/>
        <family val="2"/>
        <charset val="238"/>
        <scheme val="minor"/>
      </rPr>
      <t>Hernú štatistiku</t>
    </r>
    <r>
      <rPr>
        <sz val="11"/>
        <color theme="1"/>
        <rFont val="Calibri"/>
        <family val="2"/>
        <charset val="238"/>
        <scheme val="minor"/>
      </rPr>
      <t xml:space="preserve"> je možné definovať ako štatistický súhrn číselných charakteristík hernej výkonnosti družstva a jednotlivých hráčov založený prevažne na registrácii herných činností (ukazovateľov, kategórií). Zaoberá sa najmä </t>
    </r>
    <r>
      <rPr>
        <b/>
        <sz val="11"/>
        <color theme="1"/>
        <rFont val="Calibri"/>
        <family val="2"/>
        <charset val="238"/>
        <scheme val="minor"/>
      </rPr>
      <t>hernými činnosťami</t>
    </r>
    <r>
      <rPr>
        <sz val="11"/>
        <color theme="1"/>
        <rFont val="Calibri"/>
        <family val="2"/>
        <charset val="238"/>
        <scheme val="minor"/>
      </rPr>
      <t>, ktoré v podstatnej miereo vplyvňujú (pozitívne aleb onegatívne) konečný výsledok basketbalového zápasu.</t>
    </r>
  </si>
  <si>
    <t>INTERPRETÁCIA ZAZNAMENÁVANÝCH KATEGÓRIÍ HERNEJ ŠTATISTIKY V SÚŤAŽIACH SBA PRE HRACIE OBDBIE 2023/24.</t>
  </si>
  <si>
    <t>odohratý čas</t>
  </si>
  <si>
    <t>zaznamenáva sa celkov ýpočet minút (len celé minúty). Ak sa hráč zapojí do hry resp. nastúpi hoci len na sekundu, započítava sa mu jedna celá minúta. Hráč sa môže počas stretnutia takto viackrát zapojiť do hry a jeho odohraný čas sa bude rovnať súčtu celých minút.</t>
  </si>
  <si>
    <t>Hráč B vystrieda hráča A - v tom čase je na svetelnej tabuli čas 17´45” (resp. 2´15”) - a hráč B hrá až dokonca polčasu. Hráčovi A zapíšeme 18´ a B hráčovi 2´ odohrané minúty.</t>
  </si>
  <si>
    <t>Hráč B vystrieda hráča A - v tom čase je na svetelnej tabuli čas 17´15” (resp. 2´45”) - a hráč B hrá až dokonca polčasu. Hráčovi A zapíšeme 17´ a B hráčovi 3´ odohrané minúty.</t>
  </si>
  <si>
    <t>17´29” (resp. 2´31”) = zapísaných 17´ minút; 17´30” (resp. 2´30”) = zapísaných 18´ minút.</t>
  </si>
  <si>
    <t>UPRESNENIE</t>
  </si>
  <si>
    <t>PRÍKLAD</t>
  </si>
  <si>
    <t>MINÚTY UVEDENÉ V ZÁTVORKÁCH VYJADRUJÚ ČAS ZOSTÁVAJÚCI DO KONCA POLČASU.</t>
  </si>
  <si>
    <t>strelecké pokusy</t>
  </si>
  <si>
    <r>
      <t xml:space="preserve">Strelecký pokus bude hráčovi zaznamenaný vždy vtedy, ak strieľa, hádže alebo dopichuje odrazenú loptu v snahe skórovať (okrem prípadu, keď je pri streľbe faulovaný a neúspešný). Narozdiel od posudzovania pravidla 24 sekúnd sa </t>
    </r>
    <r>
      <rPr>
        <b/>
        <sz val="11"/>
        <color theme="1"/>
        <rFont val="Calibri"/>
        <family val="2"/>
        <charset val="238"/>
        <scheme val="minor"/>
      </rPr>
      <t>zastrelecký pokus považuje aj hod na kôš, pri ktorom nedošlo ku kontaktu s obručou.</t>
    </r>
  </si>
  <si>
    <r>
      <rPr>
        <b/>
        <sz val="11"/>
        <color theme="1"/>
        <rFont val="Calibri"/>
        <family val="2"/>
        <charset val="238"/>
        <scheme val="minor"/>
      </rPr>
      <t>Doplnenie:</t>
    </r>
    <r>
      <rPr>
        <sz val="11"/>
        <color theme="1"/>
        <rFont val="Calibri"/>
        <family val="2"/>
        <charset val="238"/>
        <scheme val="minor"/>
      </rPr>
      <t xml:space="preserve"> Ak sa dosiahne vlastný kôš priznáva sa kapitánovi súpera (ak je na ihrisku a nie možné jednoznačne určiť najbližšieho hráča) alebo najbližšiemu hráčovi súpera. Ak hráč </t>
    </r>
    <r>
      <rPr>
        <b/>
        <sz val="11"/>
        <color theme="1"/>
        <rFont val="Calibri"/>
        <family val="2"/>
        <charset val="238"/>
        <scheme val="minor"/>
      </rPr>
      <t>dopichuje</t>
    </r>
    <r>
      <rPr>
        <sz val="11"/>
        <color theme="1"/>
        <rFont val="Calibri"/>
        <family val="2"/>
        <charset val="238"/>
        <scheme val="minor"/>
      </rPr>
      <t xml:space="preserve"> (tečuje loptu jednou rukou vo výskoku v blízkosti obruče) považuje sa to za strelecký pokus (aj doskočenú loptu).</t>
    </r>
  </si>
  <si>
    <t>doskočené lopty</t>
  </si>
  <si>
    <t>1. Doskočená lopta v útoku je započítaná vždy vtedy, keď hráč opäť získa odrazenú loptu po neúspešnom streleckom pokuse z hry alebo trestných hodov (jeho vlastnom alebo niektorého zo spoluhráčov). Za doskočenú loptu v útoku sa tiež považuje dopichovanie.</t>
  </si>
  <si>
    <t>2. Doskočená lopta v obrane je započítaná hráčovi vždy vtedy, ak hráč získa odrazenú loptu po neúspešnom streleckom pokuse súpera z hry alebo trestných hodov, ale aj po blokovaní strely.</t>
  </si>
  <si>
    <t>3. Po neúspešnom streleckom pokuse bude doskočená lopta zaznamenaná niektorému z hráčov, ktorý ju získa, hoc aj po niekoľkonásobnom náhodnom tečovaní lopty spoluhráčmi resp. protihráčmi (hoc aj po kotúľaní sa).</t>
  </si>
  <si>
    <t>4. Doskočená lopta bude započítaná hráčovi po predchádzajúcej streľbe a následnej situácii vedúcej k rozskoku, resp. uplatnení pravidla o striedavom držaní lopty.</t>
  </si>
  <si>
    <t>Doplnenie: Doskočená lopta družstva je započítaná družstvu, keď odrazené lopty nie je možné započítať žiadnemu hráčovi, pretože skončia v zázemí. Ak sa lopta po neúspešnej streľbe dostane do zázemia a predtým ju nemal žiaden hráč v moci (i keď mohla byť predtým tečovaná) - priznáva sa doskočená lopta (v obrane alebo v útoku) družstvu, ktoré bude vhadzovať. Ak pri druhom trestnom hode sa dopustí útočiace družstvo priestupku, po ktorom nasleduje vhadzovanie zo zázemia - priznáva sa doskočená lopta v obrane brániacemu družstvu.</t>
  </si>
  <si>
    <t>asistencie</t>
  </si>
  <si>
    <t>Asistencia je prihrávka, ktorej podmienkou je vystihnutie voľného spoluhráča.</t>
  </si>
  <si>
    <t>1. Asistencia je pripísaná hráčovi, ktorý posledný prihráva hráčovi bezprostredne strieľajúcemu úspešne, len ak skórujúci hráč reaguje okamžitým zakončením smerom na kôš (nevykonáva ďalšiu hernú činnosť jednotlivca, ktorá by ho zvýhodňovala pri zakončení streľbou: nefintuje, nedribluje, nevykonáva obrátku).</t>
  </si>
  <si>
    <t>2. Pri skórovaní môže byť priznaná vždy len jedna asistencia.</t>
  </si>
  <si>
    <t>3. Prihrávka spoza postrannej (príp. koncovej) čiary môže byť asistenciou, ak priamo predchádza skórovaniu.</t>
  </si>
  <si>
    <t>4. Prihrávka do protiútoku hráčovi zakončujúcemu situáciu 1:0 (pred ktorým sa nenachádza obranca), ktorý použije dribling, môže byť asistenciou.</t>
  </si>
  <si>
    <t>stratené lopty</t>
  </si>
  <si>
    <t>1. Stratená lopta je priznaná hráčovi kedykoľvek, keď útočiaci hráč (družstvo)stratí kontrolu nad loptou bez pokusu o streľbu (porušenie pravidla o 24s., o 8s. = stratená lopta sa priznáva družstvu ako celku, ak nie je možné priznať stratenú loptu hráčovi)</t>
  </si>
  <si>
    <t>2. Strata lopty sa zaznamenáva útočiacemu hráčovi:</t>
  </si>
  <si>
    <r>
      <t xml:space="preserve">a/ porušenie pravidla </t>
    </r>
    <r>
      <rPr>
        <b/>
        <sz val="11"/>
        <color theme="1"/>
        <rFont val="Calibri"/>
        <family val="2"/>
        <charset val="238"/>
        <scheme val="minor"/>
      </rPr>
      <t>3 a 5 - sekúnd</t>
    </r>
    <r>
      <rPr>
        <sz val="11"/>
        <color theme="1"/>
        <rFont val="Calibri"/>
        <family val="2"/>
        <charset val="238"/>
        <scheme val="minor"/>
      </rPr>
      <t xml:space="preserve">, b/ porušenie pravidiel pri vhadzovaní, c/ porušenie pravidiel o krokoch, d/ dvojitý dribling, e/ útočný faul, f/ porušenie pravidiel týkajúcich sa hry nad úrovňou obruče, g/ zlá prihrávka, po ktorej nasleduje strata kontroly nad loptou, h/ získanie prihrávky súperom, i/ strata lopty, ktorú mal </t>
    </r>
    <r>
      <rPr>
        <b/>
        <sz val="11"/>
        <color theme="1"/>
        <rFont val="Calibri"/>
        <family val="2"/>
        <charset val="238"/>
        <scheme val="minor"/>
      </rPr>
      <t>posledný</t>
    </r>
    <r>
      <rPr>
        <sz val="11"/>
        <color theme="1"/>
        <rFont val="Calibri"/>
        <family val="2"/>
        <charset val="238"/>
        <scheme val="minor"/>
      </rPr>
      <t xml:space="preserve"> hráč v priamom držaní, napr. </t>
    </r>
    <r>
      <rPr>
        <b/>
        <sz val="11"/>
        <color theme="1"/>
        <rFont val="Calibri"/>
        <family val="2"/>
        <charset val="238"/>
        <scheme val="minor"/>
      </rPr>
      <t>pri situácii vedúcej k rozskoku, po ktorej sa uplatní pravidlo o striedavom držaní lopty v neprospech pozorovaného družstva</t>
    </r>
    <r>
      <rPr>
        <sz val="11"/>
        <color theme="1"/>
        <rFont val="Calibri"/>
        <family val="2"/>
        <charset val="238"/>
        <scheme val="minor"/>
      </rPr>
      <t>, j/ strata lopty do autu, k/ porušenie pravidla o krokoch pri vhadzovaní, l/ nedovolené hranie cez polovicu ihriska, m/ porušenie pravidiel pri rozskoku.</t>
    </r>
  </si>
  <si>
    <r>
      <rPr>
        <b/>
        <sz val="11"/>
        <color theme="1"/>
        <rFont val="Calibri"/>
        <family val="2"/>
        <charset val="238"/>
        <scheme val="minor"/>
      </rPr>
      <t>Doplnenie:</t>
    </r>
    <r>
      <rPr>
        <sz val="11"/>
        <color theme="1"/>
        <rFont val="Calibri"/>
        <family val="2"/>
        <charset val="238"/>
        <scheme val="minor"/>
      </rPr>
      <t xml:space="preserve"> Ak po prihrávke dochádza k strate lopty - priznáva sa stratená lopta väčšinou prihrávajúcemu hráčovi. Ak družstvo stratí loptu - nemusí byť automaticky priznaná lopta súperovi (nie sú získané lopty družstva).</t>
    </r>
  </si>
  <si>
    <t>získané lopty</t>
  </si>
  <si>
    <t>1. Získaná lopta môže byť priznaná hráčovi len vtedy, ak jej predchádzala strata lopty. Na opak existujú prípady, keď môžeme zapísať stratu lopty bez toho aby bola následne zaznamenaná získaná lopta.</t>
  </si>
  <si>
    <t>2. Hráčovi zaznamenávame získanú loptu v nasledujúcich situáciách:</t>
  </si>
  <si>
    <r>
      <t xml:space="preserve">a/ získanie lopty (zobratie súperovi) dovoleným spôsobom, b/ vystihnutie a zachytenie prihrávky, c/ cielené vypichnutie lopty od súpera k spoluhráčom, d/ cielené odbitie lopty pri rozskoku, e/zisk lopty pri situácii vedúcej k rozskoku, po ktorej sa uplatní pravidlo o striedavom držaní lopty v prospech pozorovaného družstva, keď predtým mal súper loptu v priamom držaní. </t>
    </r>
    <r>
      <rPr>
        <b/>
        <sz val="11"/>
        <color theme="1"/>
        <rFont val="Calibri"/>
        <family val="2"/>
        <charset val="238"/>
        <scheme val="minor"/>
      </rPr>
      <t>Doplnenie:</t>
    </r>
    <r>
      <rPr>
        <sz val="11"/>
        <color theme="1"/>
        <rFont val="Calibri"/>
        <family val="2"/>
        <charset val="238"/>
        <scheme val="minor"/>
      </rPr>
      <t xml:space="preserve"> Vypichnutie lopty po dobu, kým je pohyb paží s loptou pod úrovňou ramien (keď je útočník v dvojtakte). Ak obranca tečuje prihrávanú loptu alebo ju vypichuje, čím spôsobí zmenu smeru lopty - priznáva sa mu získaná lopta (aj keď sa jej zmocní jeho spoluhráč). Ak útočiaci hráč urobí útočný faul - preráža, obrancovi sa nepriznáva získaná lopta.</t>
    </r>
  </si>
  <si>
    <t>Družstvu nezapočítavame získanú loptu, ak nevieme presne určiť hráča ,ktorý loptu získal (porušeniepravidla o 24s., 8s., 5s., keď družstvo kvalitnou obrannou aktivitou nedovolilo súperovi vystreliť na kôš, prejsť na súperovu polovicu, vhodiť loptu zo zázemia do hry)!</t>
  </si>
  <si>
    <t>blokované strely</t>
  </si>
  <si>
    <r>
      <t xml:space="preserve">Blokovaná strela môže byť priznaná hráčovi vtedy, ak jej predchádzala streľba súpera </t>
    </r>
    <r>
      <rPr>
        <b/>
        <sz val="11"/>
        <color theme="1"/>
        <rFont val="Calibri"/>
        <family val="2"/>
        <charset val="238"/>
        <scheme val="minor"/>
      </rPr>
      <t>(alebo aj pohyb paží s loptou nad úrovňou ramien smerom na kôš)</t>
    </r>
    <r>
      <rPr>
        <sz val="11"/>
        <color theme="1"/>
        <rFont val="Calibri"/>
        <family val="2"/>
        <charset val="238"/>
        <scheme val="minor"/>
      </rPr>
      <t xml:space="preserve"> a bola uskutočnená po dobu, kým má lopta stúpajúcu dráhu letu.</t>
    </r>
  </si>
  <si>
    <r>
      <rPr>
        <b/>
        <sz val="11"/>
        <color theme="1"/>
        <rFont val="Calibri"/>
        <family val="2"/>
        <charset val="238"/>
        <scheme val="minor"/>
      </rPr>
      <t>Doplnenie:</t>
    </r>
    <r>
      <rPr>
        <sz val="11"/>
        <color theme="1"/>
        <rFont val="Calibri"/>
        <family val="2"/>
        <charset val="238"/>
        <scheme val="minor"/>
      </rPr>
      <t xml:space="preserve"> Po blokovanej strele nasleduje </t>
    </r>
    <r>
      <rPr>
        <b/>
        <sz val="11"/>
        <color theme="1"/>
        <rFont val="Calibri"/>
        <family val="2"/>
        <charset val="238"/>
        <scheme val="minor"/>
      </rPr>
      <t>vždy doskočená lopta v obrane, resp. v útoku (hráča alebo družstva).</t>
    </r>
  </si>
  <si>
    <t>získané fauly</t>
  </si>
  <si>
    <t>Získaný faul sa priznáva hráčovi vtedy, ak je hráč faulovaný.</t>
  </si>
  <si>
    <t>Hráčovi sa zaznamenáva osobná chyba (max. 5). Najlepšie je urobiť záverečné úpravy v počte faulov podľa zápisu o stretnutí.</t>
  </si>
  <si>
    <t>Akékoľvek skreslené (vymyslené) údaje budú pri spracovaní jednoduchými štatistickými operáciami odhalené, no nie vždy však opraviteľné, čím sa znižuje výpovedná hodnota výstupov.</t>
  </si>
  <si>
    <t>1.1</t>
  </si>
  <si>
    <t>Ak BK hodnotí výkon rozhodcu známkou 4 a menej, je BK povinný hodnotenie písomne zdôvodniť na tomto tlačive.</t>
  </si>
  <si>
    <r>
      <rPr>
        <b/>
        <sz val="11"/>
        <color theme="1"/>
        <rFont val="Calibri"/>
        <family val="2"/>
        <charset val="238"/>
        <scheme val="minor"/>
      </rPr>
      <t xml:space="preserve">Doplnenie: </t>
    </r>
    <r>
      <rPr>
        <sz val="11"/>
        <color theme="1"/>
        <rFont val="Calibri"/>
        <family val="2"/>
        <charset val="238"/>
        <scheme val="minor"/>
      </rPr>
      <t xml:space="preserve">Ak je hráč, ktorému bolo pred neúspešnou streľbou prihrané, faulovaný - </t>
    </r>
    <r>
      <rPr>
        <b/>
        <sz val="11"/>
        <color theme="1"/>
        <rFont val="Calibri"/>
        <family val="2"/>
        <charset val="238"/>
        <scheme val="minor"/>
      </rPr>
      <t>nie je</t>
    </r>
    <r>
      <rPr>
        <sz val="11"/>
        <color theme="1"/>
        <rFont val="Calibri"/>
        <family val="2"/>
        <charset val="238"/>
        <scheme val="minor"/>
      </rPr>
      <t xml:space="preserve"> prihrávajúcemu priznaná asistencia ( v prípade, že nasleduje úspešná streľba trestných hodov, tak sa hráčovi pripíše asistencia).</t>
    </r>
  </si>
  <si>
    <t>8</t>
  </si>
  <si>
    <t>Ú - úspešné strelecké pokusy</t>
  </si>
  <si>
    <t>C - celkové strelecké pokusy</t>
  </si>
  <si>
    <t>PF - fauly</t>
  </si>
  <si>
    <t>VÝPOČET: (PTS + OFF + DEF + AST + STL + BLK) - ((FG C - FG Ú) + (FT C - FT Ú) + TO))</t>
  </si>
  <si>
    <r>
      <t xml:space="preserve">Rozhodcovia sa hodnotia známkami od 1 do 10. Známka 10 je najlepšie hodnotenie. Hodnota známok môže byť : 1; 2, 3; 4; 5; 6; 7; 8; 9; 10. </t>
    </r>
    <r>
      <rPr>
        <b/>
        <sz val="10"/>
        <color theme="1"/>
        <rFont val="Calibri"/>
        <family val="2"/>
        <scheme val="minor"/>
      </rPr>
      <t>Ak BK hodnotí výkon rozhodcu známkou 4 a menej, je BK povinný hodnotenie písomne zdôvodniť na tomto tlačive.</t>
    </r>
  </si>
  <si>
    <t>0</t>
  </si>
  <si>
    <t>6</t>
  </si>
  <si>
    <t>PACALA Samuel</t>
  </si>
  <si>
    <t>KRAJKA Peter</t>
  </si>
  <si>
    <t>LUKÁČ Jozef</t>
  </si>
  <si>
    <t>PUKER Martin</t>
  </si>
  <si>
    <t>GROP Marek</t>
  </si>
  <si>
    <t>TVRDÝ Šimon</t>
  </si>
  <si>
    <t>FRANCE Karol</t>
  </si>
  <si>
    <t>MARKO Peter</t>
  </si>
  <si>
    <t>DROBNÝ Tibor</t>
  </si>
  <si>
    <t>Samuel Pacala</t>
  </si>
  <si>
    <t>ŠBK Junior Levice</t>
  </si>
  <si>
    <t>MBA Prievidza</t>
  </si>
  <si>
    <t>FRANCE Gustáv</t>
  </si>
  <si>
    <t>MARKO Lukáš</t>
  </si>
  <si>
    <t>DROBNÝ Michal</t>
  </si>
  <si>
    <t>2.1</t>
  </si>
  <si>
    <t>Druhá verzia formuláru - odstránenie streľby spod koša, zmeny skratiek do anglického jazyka, odstránenie postu hráčov, zmena výpočtu indexu (hernej produktivity) na FIBA verziu, celková zmena dizajnu. Vytvorené pre h. o. 2023/24.</t>
  </si>
  <si>
    <t>Vytvorené pre h. o. 2024/25.</t>
  </si>
  <si>
    <t>Juniori U20</t>
  </si>
  <si>
    <t>Formulár vytvorený pre h.o. 2025/26. Slovenská basketbalová asociácia, Kalinčiakova 33a, 831 04 Bratislava, sutaze@slovakbasket.sk</t>
  </si>
  <si>
    <t>Vytvorené pre h. o. 2025/26.</t>
  </si>
  <si>
    <t>2.2</t>
  </si>
  <si>
    <t>TIPOS EXZ</t>
  </si>
  <si>
    <t>TIPOS SBL</t>
  </si>
  <si>
    <t>1. liga ženy, Mladé ženy U23, Juniorky U19</t>
  </si>
  <si>
    <t>Kadeti U18</t>
  </si>
  <si>
    <t>Starší žiaci U16</t>
  </si>
  <si>
    <t>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</si>
</sst>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8" x14ac:knownFonts="1">
    <font>
      <sz val="11"/>
      <color theme="1"/>
      <name val="Calibri"/>
      <family val="2"/>
      <charset val="238"/>
      <scheme val="minor"/>
    </font>
    <font>
      <sz val="11"/>
      <color theme="1"/>
      <name val="Calibri"/>
      <family val="2"/>
      <charset val="238"/>
      <scheme val="minor"/>
    </font>
    <font>
      <sz val="10"/>
      <color theme="1"/>
      <name val="Calibri"/>
      <family val="2"/>
      <scheme val="minor"/>
    </font>
    <font>
      <sz val="9"/>
      <color theme="1"/>
      <name val="Calibri"/>
      <family val="2"/>
      <scheme val="minor"/>
    </font>
    <font>
      <b/>
      <sz val="10"/>
      <color theme="1"/>
      <name val="Calibri"/>
      <family val="2"/>
      <scheme val="minor"/>
    </font>
    <font>
      <sz val="8"/>
      <color theme="1"/>
      <name val="Calibri"/>
      <family val="2"/>
      <scheme val="minor"/>
    </font>
    <font>
      <sz val="10"/>
      <color theme="3"/>
      <name val="Calibri"/>
      <family val="2"/>
      <scheme val="minor"/>
    </font>
    <font>
      <sz val="11"/>
      <color theme="1"/>
      <name val="Calibri"/>
      <family val="2"/>
      <scheme val="minor"/>
    </font>
    <font>
      <sz val="10"/>
      <color theme="0"/>
      <name val="Calibri"/>
      <family val="2"/>
      <scheme val="minor"/>
    </font>
    <font>
      <sz val="4"/>
      <color theme="0"/>
      <name val="Calibri"/>
      <family val="2"/>
      <scheme val="minor"/>
    </font>
    <font>
      <b/>
      <sz val="4"/>
      <color theme="0"/>
      <name val="Calibri"/>
      <family val="2"/>
      <scheme val="minor"/>
    </font>
    <font>
      <b/>
      <sz val="8"/>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22"/>
      <color theme="1"/>
      <name val="Calibri"/>
      <family val="2"/>
      <scheme val="minor"/>
    </font>
    <font>
      <sz val="6"/>
      <color theme="1"/>
      <name val="Calibri"/>
      <family val="2"/>
      <scheme val="minor"/>
    </font>
    <font>
      <sz val="7"/>
      <color theme="1"/>
      <name val="Calibri"/>
      <family val="2"/>
      <scheme val="minor"/>
    </font>
    <font>
      <sz val="5"/>
      <color theme="1"/>
      <name val="Calibri"/>
      <family val="2"/>
      <scheme val="minor"/>
    </font>
    <font>
      <sz val="15"/>
      <color rgb="FF242424"/>
      <name val="Calibri"/>
      <family val="2"/>
      <scheme val="minor"/>
    </font>
    <font>
      <b/>
      <sz val="11"/>
      <color theme="1"/>
      <name val="Calibri"/>
      <family val="2"/>
      <charset val="238"/>
      <scheme val="minor"/>
    </font>
    <font>
      <b/>
      <sz val="12"/>
      <color theme="1"/>
      <name val="Calibri"/>
      <family val="2"/>
      <charset val="238"/>
      <scheme val="minor"/>
    </font>
    <font>
      <b/>
      <i/>
      <sz val="11"/>
      <color theme="1"/>
      <name val="Calibri"/>
      <family val="2"/>
      <charset val="238"/>
      <scheme val="minor"/>
    </font>
    <font>
      <b/>
      <sz val="16"/>
      <color theme="1"/>
      <name val="Calibri"/>
      <family val="2"/>
      <charset val="238"/>
      <scheme val="minor"/>
    </font>
    <font>
      <b/>
      <sz val="8"/>
      <color theme="1"/>
      <name val="Calibri"/>
      <family val="2"/>
      <charset val="238"/>
      <scheme val="minor"/>
    </font>
    <font>
      <b/>
      <sz val="9"/>
      <color theme="1"/>
      <name val="Calibri"/>
      <family val="2"/>
      <scheme val="minor"/>
    </font>
    <font>
      <sz val="10"/>
      <color rgb="FFFF0000"/>
      <name val="Calibri"/>
      <family val="2"/>
      <scheme val="minor"/>
    </font>
    <font>
      <sz val="4"/>
      <color rgb="FFFF000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9"/>
        <bgColor indexed="64"/>
      </patternFill>
    </fill>
    <fill>
      <patternFill patternType="solid">
        <fgColor rgb="FFFFFF00"/>
        <bgColor indexed="64"/>
      </patternFill>
    </fill>
  </fills>
  <borders count="6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439">
    <xf numFmtId="0" fontId="0" fillId="0" borderId="0" xfId="0"/>
    <xf numFmtId="0" fontId="4" fillId="4" borderId="54" xfId="0" applyFont="1" applyFill="1" applyBorder="1" applyAlignment="1" applyProtection="1">
      <alignment horizontal="center" vertical="center"/>
      <protection hidden="1"/>
    </xf>
    <xf numFmtId="0" fontId="4" fillId="4" borderId="51"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protection hidden="1"/>
    </xf>
    <xf numFmtId="0" fontId="2" fillId="2" borderId="0" xfId="0" applyFont="1" applyFill="1" applyAlignment="1" applyProtection="1">
      <alignment vertical="center"/>
      <protection hidden="1"/>
    </xf>
    <xf numFmtId="0" fontId="2" fillId="3" borderId="46"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protection hidden="1"/>
    </xf>
    <xf numFmtId="0" fontId="7" fillId="2" borderId="0" xfId="0" applyFont="1" applyFill="1" applyProtection="1">
      <protection hidden="1"/>
    </xf>
    <xf numFmtId="0" fontId="2" fillId="2" borderId="11"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hidden="1"/>
    </xf>
    <xf numFmtId="0" fontId="2" fillId="2" borderId="33" xfId="0" applyFont="1" applyFill="1" applyBorder="1" applyAlignment="1" applyProtection="1">
      <alignment horizontal="center" vertical="center"/>
      <protection locked="0"/>
    </xf>
    <xf numFmtId="0" fontId="2" fillId="2" borderId="21" xfId="0" applyFont="1" applyFill="1" applyBorder="1" applyAlignment="1" applyProtection="1">
      <alignment horizontal="center" vertical="center"/>
      <protection locked="0"/>
    </xf>
    <xf numFmtId="0" fontId="2" fillId="4" borderId="24" xfId="0" applyFont="1" applyFill="1" applyBorder="1" applyAlignment="1" applyProtection="1">
      <alignment horizontal="center" vertical="center" wrapText="1"/>
      <protection hidden="1"/>
    </xf>
    <xf numFmtId="0" fontId="2" fillId="4" borderId="25" xfId="0" applyFont="1" applyFill="1" applyBorder="1" applyAlignment="1" applyProtection="1">
      <alignment horizontal="center" vertical="center" wrapText="1"/>
      <protection hidden="1"/>
    </xf>
    <xf numFmtId="0" fontId="2" fillId="4" borderId="21" xfId="0" applyFont="1" applyFill="1" applyBorder="1" applyAlignment="1" applyProtection="1">
      <alignment horizontal="center" vertical="center" wrapText="1"/>
      <protection hidden="1"/>
    </xf>
    <xf numFmtId="1" fontId="2" fillId="0" borderId="0" xfId="1" applyNumberFormat="1" applyFont="1" applyAlignment="1" applyProtection="1">
      <alignment horizontal="center" vertical="center"/>
      <protection hidden="1"/>
    </xf>
    <xf numFmtId="0" fontId="3" fillId="2" borderId="22" xfId="0" applyFont="1" applyFill="1" applyBorder="1" applyAlignment="1" applyProtection="1">
      <alignment horizontal="center" vertical="center"/>
      <protection locked="0"/>
    </xf>
    <xf numFmtId="0" fontId="3" fillId="2" borderId="49" xfId="0" applyFont="1" applyFill="1" applyBorder="1" applyAlignment="1" applyProtection="1">
      <alignment horizontal="center" vertical="center"/>
      <protection locked="0"/>
    </xf>
    <xf numFmtId="0" fontId="3" fillId="2" borderId="12" xfId="0" applyFont="1" applyFill="1" applyBorder="1" applyAlignment="1" applyProtection="1">
      <alignment horizontal="center" vertical="center"/>
      <protection locked="0"/>
    </xf>
    <xf numFmtId="0" fontId="3" fillId="2" borderId="15" xfId="0" applyFont="1" applyFill="1" applyBorder="1" applyAlignment="1" applyProtection="1">
      <alignment horizontal="center" vertical="center"/>
      <protection locked="0"/>
    </xf>
    <xf numFmtId="0" fontId="3" fillId="4" borderId="12" xfId="0" applyFont="1" applyFill="1" applyBorder="1" applyAlignment="1" applyProtection="1">
      <alignment horizontal="center" vertical="center"/>
      <protection hidden="1"/>
    </xf>
    <xf numFmtId="0" fontId="3" fillId="4" borderId="15" xfId="0" applyFont="1" applyFill="1" applyBorder="1" applyAlignment="1" applyProtection="1">
      <alignment horizontal="center" vertical="center"/>
      <protection hidden="1"/>
    </xf>
    <xf numFmtId="0" fontId="3" fillId="6" borderId="22" xfId="0" applyFont="1" applyFill="1" applyBorder="1" applyAlignment="1" applyProtection="1">
      <alignment horizontal="center" vertical="center"/>
      <protection hidden="1"/>
    </xf>
    <xf numFmtId="0" fontId="3" fillId="2" borderId="11" xfId="0" applyFont="1" applyFill="1" applyBorder="1" applyAlignment="1" applyProtection="1">
      <alignment horizontal="center" vertical="center"/>
      <protection locked="0"/>
    </xf>
    <xf numFmtId="0" fontId="3" fillId="2" borderId="30" xfId="0" applyFont="1" applyFill="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3" fillId="2" borderId="27"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3" fillId="4" borderId="27" xfId="0" applyFont="1" applyFill="1" applyBorder="1" applyAlignment="1" applyProtection="1">
      <alignment horizontal="center" vertical="center"/>
      <protection hidden="1"/>
    </xf>
    <xf numFmtId="0" fontId="3" fillId="4" borderId="28" xfId="0" applyFont="1" applyFill="1" applyBorder="1" applyAlignment="1" applyProtection="1">
      <alignment horizontal="center" vertical="center"/>
      <protection hidden="1"/>
    </xf>
    <xf numFmtId="0" fontId="3" fillId="6" borderId="30" xfId="0" applyFont="1" applyFill="1" applyBorder="1" applyAlignment="1" applyProtection="1">
      <alignment horizontal="center" vertical="center"/>
      <protection hidden="1"/>
    </xf>
    <xf numFmtId="0" fontId="3" fillId="2" borderId="33" xfId="0" applyFont="1" applyFill="1" applyBorder="1" applyAlignment="1" applyProtection="1">
      <alignment horizontal="center" vertical="center"/>
      <protection locked="0"/>
    </xf>
    <xf numFmtId="0" fontId="3" fillId="2" borderId="17" xfId="0" applyFont="1" applyFill="1" applyBorder="1" applyAlignment="1" applyProtection="1">
      <alignment horizontal="center" vertical="center"/>
      <protection locked="0"/>
    </xf>
    <xf numFmtId="0" fontId="3" fillId="2" borderId="43" xfId="0" applyFont="1" applyFill="1" applyBorder="1" applyAlignment="1" applyProtection="1">
      <alignment horizontal="center" vertical="center"/>
      <protection locked="0"/>
    </xf>
    <xf numFmtId="0" fontId="3" fillId="2" borderId="24" xfId="0" applyFont="1" applyFill="1" applyBorder="1" applyAlignment="1" applyProtection="1">
      <alignment horizontal="center" vertical="center"/>
      <protection locked="0"/>
    </xf>
    <xf numFmtId="0" fontId="3" fillId="2" borderId="25" xfId="0" applyFont="1" applyFill="1" applyBorder="1" applyAlignment="1" applyProtection="1">
      <alignment horizontal="center" vertical="center"/>
      <protection locked="0"/>
    </xf>
    <xf numFmtId="0" fontId="3" fillId="4" borderId="24" xfId="0" applyFont="1" applyFill="1" applyBorder="1" applyAlignment="1" applyProtection="1">
      <alignment horizontal="center" vertical="center"/>
      <protection hidden="1"/>
    </xf>
    <xf numFmtId="0" fontId="3" fillId="4" borderId="25" xfId="0" applyFont="1" applyFill="1" applyBorder="1" applyAlignment="1" applyProtection="1">
      <alignment horizontal="center" vertical="center"/>
      <protection hidden="1"/>
    </xf>
    <xf numFmtId="0" fontId="3" fillId="6" borderId="17" xfId="0" applyFont="1" applyFill="1" applyBorder="1" applyAlignment="1" applyProtection="1">
      <alignment horizontal="center" vertical="center"/>
      <protection hidden="1"/>
    </xf>
    <xf numFmtId="0" fontId="3" fillId="2" borderId="21" xfId="0" applyFont="1" applyFill="1" applyBorder="1" applyAlignment="1" applyProtection="1">
      <alignment horizontal="center" vertical="center"/>
      <protection locked="0"/>
    </xf>
    <xf numFmtId="0" fontId="3" fillId="2" borderId="59" xfId="0" applyFont="1" applyFill="1" applyBorder="1" applyAlignment="1" applyProtection="1">
      <alignment horizontal="center" vertical="center"/>
      <protection locked="0"/>
    </xf>
    <xf numFmtId="0" fontId="4" fillId="5" borderId="7" xfId="0" applyFont="1" applyFill="1" applyBorder="1" applyAlignment="1" applyProtection="1">
      <alignment horizontal="center" vertical="center"/>
      <protection hidden="1"/>
    </xf>
    <xf numFmtId="0" fontId="4" fillId="6" borderId="50" xfId="0" applyFont="1" applyFill="1" applyBorder="1" applyAlignment="1" applyProtection="1">
      <alignment horizontal="center" vertical="center"/>
      <protection hidden="1"/>
    </xf>
    <xf numFmtId="0" fontId="4" fillId="6" borderId="51" xfId="0" applyFont="1" applyFill="1" applyBorder="1" applyAlignment="1" applyProtection="1">
      <alignment horizontal="center" vertical="center"/>
      <protection hidden="1"/>
    </xf>
    <xf numFmtId="0" fontId="4" fillId="6" borderId="53" xfId="0" applyFont="1" applyFill="1" applyBorder="1" applyAlignment="1" applyProtection="1">
      <alignment horizontal="center" vertical="center"/>
      <protection hidden="1"/>
    </xf>
    <xf numFmtId="0" fontId="4" fillId="6" borderId="46"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5" fillId="2" borderId="0" xfId="0" applyFont="1" applyFill="1" applyProtection="1">
      <protection hidden="1"/>
    </xf>
    <xf numFmtId="0" fontId="5" fillId="0" borderId="0" xfId="0" applyFont="1" applyAlignment="1" applyProtection="1">
      <alignment vertical="center" wrapText="1"/>
      <protection hidden="1"/>
    </xf>
    <xf numFmtId="0" fontId="10" fillId="2" borderId="0" xfId="0" applyFont="1" applyFill="1"/>
    <xf numFmtId="0" fontId="5" fillId="2" borderId="0" xfId="0" applyFont="1" applyFill="1" applyAlignment="1" applyProtection="1">
      <alignment vertical="center"/>
      <protection hidden="1"/>
    </xf>
    <xf numFmtId="0" fontId="5" fillId="2" borderId="0" xfId="0" applyFont="1" applyFill="1" applyAlignment="1" applyProtection="1">
      <alignment vertical="center" wrapText="1"/>
      <protection hidden="1"/>
    </xf>
    <xf numFmtId="0" fontId="9" fillId="2" borderId="0" xfId="0" applyFont="1" applyFill="1" applyAlignment="1" applyProtection="1">
      <alignment vertical="center" wrapText="1"/>
      <protection hidden="1"/>
    </xf>
    <xf numFmtId="0" fontId="2" fillId="7" borderId="46" xfId="0" applyFont="1" applyFill="1" applyBorder="1" applyAlignment="1" applyProtection="1">
      <alignment horizontal="center" vertical="center"/>
      <protection hidden="1"/>
    </xf>
    <xf numFmtId="0" fontId="7" fillId="0" borderId="0" xfId="0" applyFont="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2" fillId="0" borderId="21" xfId="0" applyFont="1" applyBorder="1" applyAlignment="1">
      <alignment horizontal="center" vertical="center"/>
    </xf>
    <xf numFmtId="0" fontId="7" fillId="0" borderId="21" xfId="0" applyFont="1" applyBorder="1" applyAlignment="1">
      <alignment horizontal="center" vertical="center"/>
    </xf>
    <xf numFmtId="0" fontId="7" fillId="2" borderId="5" xfId="0" applyFont="1" applyFill="1" applyBorder="1" applyAlignment="1">
      <alignment horizontal="center" vertical="center"/>
    </xf>
    <xf numFmtId="0" fontId="3" fillId="0" borderId="55" xfId="0" applyFont="1" applyBorder="1" applyAlignment="1">
      <alignment horizontal="center" vertical="center"/>
    </xf>
    <xf numFmtId="0" fontId="3" fillId="0" borderId="27" xfId="0" applyFont="1" applyBorder="1" applyAlignment="1">
      <alignment horizontal="center" vertical="center"/>
    </xf>
    <xf numFmtId="0" fontId="3" fillId="0" borderId="33" xfId="0" applyFont="1" applyBorder="1" applyAlignment="1">
      <alignment horizontal="center" vertical="center"/>
    </xf>
    <xf numFmtId="0" fontId="3" fillId="0" borderId="21" xfId="0" applyFont="1" applyBorder="1" applyAlignment="1">
      <alignment horizontal="center" vertical="center"/>
    </xf>
    <xf numFmtId="0" fontId="3" fillId="0" borderId="42" xfId="0" applyFont="1" applyBorder="1" applyAlignment="1">
      <alignment horizontal="center" vertical="center"/>
    </xf>
    <xf numFmtId="0" fontId="17" fillId="0" borderId="15" xfId="0" applyFont="1" applyBorder="1" applyAlignment="1">
      <alignment horizontal="center"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0" fontId="3" fillId="8" borderId="49" xfId="0" applyFont="1" applyFill="1" applyBorder="1" applyAlignment="1">
      <alignment horizontal="center" vertical="center"/>
    </xf>
    <xf numFmtId="0" fontId="7" fillId="0" borderId="27" xfId="0" applyFont="1" applyBorder="1" applyAlignment="1">
      <alignment horizontal="center" vertical="center"/>
    </xf>
    <xf numFmtId="0" fontId="17" fillId="0" borderId="28"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8" borderId="38" xfId="0" applyFont="1" applyFill="1" applyBorder="1" applyAlignment="1">
      <alignment horizontal="center" vertical="center"/>
    </xf>
    <xf numFmtId="0" fontId="17" fillId="0" borderId="25" xfId="0" applyFont="1" applyBorder="1" applyAlignment="1">
      <alignment horizontal="center" vertical="center"/>
    </xf>
    <xf numFmtId="0" fontId="7" fillId="0" borderId="39" xfId="0" applyFont="1" applyBorder="1" applyAlignment="1">
      <alignment horizontal="center" vertical="center"/>
    </xf>
    <xf numFmtId="0" fontId="7" fillId="0" borderId="40" xfId="0" applyFont="1" applyBorder="1" applyAlignment="1">
      <alignment horizontal="center" vertical="center"/>
    </xf>
    <xf numFmtId="0" fontId="7" fillId="8" borderId="63" xfId="0" applyFont="1" applyFill="1" applyBorder="1" applyAlignment="1">
      <alignment horizontal="center" vertical="center"/>
    </xf>
    <xf numFmtId="0" fontId="7" fillId="0" borderId="25" xfId="0" applyFont="1" applyBorder="1" applyAlignment="1">
      <alignment horizontal="center" vertical="center"/>
    </xf>
    <xf numFmtId="0" fontId="7" fillId="0" borderId="19" xfId="0" applyFont="1" applyBorder="1" applyAlignment="1">
      <alignment horizontal="center" vertical="center"/>
    </xf>
    <xf numFmtId="0" fontId="7" fillId="8" borderId="43" xfId="0" applyFont="1" applyFill="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6" xfId="0" applyFont="1" applyBorder="1" applyAlignment="1">
      <alignment horizontal="center" vertical="center"/>
    </xf>
    <xf numFmtId="0" fontId="2" fillId="0" borderId="27" xfId="0" applyFont="1" applyBorder="1" applyAlignment="1">
      <alignment horizontal="center" vertical="center"/>
    </xf>
    <xf numFmtId="0" fontId="2" fillId="0" borderId="29" xfId="0" applyFont="1" applyBorder="1" applyAlignment="1">
      <alignment horizontal="center" vertical="center"/>
    </xf>
    <xf numFmtId="0" fontId="2" fillId="0" borderId="28" xfId="0" applyFont="1" applyBorder="1" applyAlignment="1">
      <alignment horizontal="center" vertical="center"/>
    </xf>
    <xf numFmtId="0" fontId="2" fillId="0" borderId="33" xfId="0" applyFont="1" applyBorder="1" applyAlignment="1">
      <alignment horizontal="center" vertical="center"/>
    </xf>
    <xf numFmtId="0" fontId="2" fillId="0" borderId="31" xfId="0" applyFont="1" applyBorder="1" applyAlignment="1">
      <alignment horizontal="center" vertical="center"/>
    </xf>
    <xf numFmtId="0" fontId="7" fillId="0" borderId="3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7" fillId="0" borderId="31" xfId="0" applyFont="1" applyBorder="1" applyAlignment="1">
      <alignment horizontal="center" vertical="center"/>
    </xf>
    <xf numFmtId="0" fontId="5" fillId="0" borderId="27" xfId="0" applyFont="1" applyBorder="1" applyAlignment="1">
      <alignment horizontal="center" vertical="center"/>
    </xf>
    <xf numFmtId="0" fontId="18" fillId="0" borderId="28" xfId="0" applyFont="1" applyBorder="1" applyAlignment="1">
      <alignment horizontal="center" vertical="center"/>
    </xf>
    <xf numFmtId="0" fontId="5" fillId="0" borderId="28" xfId="0" applyFont="1" applyBorder="1" applyAlignment="1">
      <alignment horizontal="center" vertical="center"/>
    </xf>
    <xf numFmtId="0" fontId="5" fillId="0" borderId="24" xfId="0" applyFont="1" applyBorder="1" applyAlignment="1">
      <alignment horizontal="center" vertical="center"/>
    </xf>
    <xf numFmtId="0" fontId="18" fillId="0" borderId="25" xfId="0" applyFont="1" applyBorder="1" applyAlignment="1">
      <alignment horizontal="center" vertical="center"/>
    </xf>
    <xf numFmtId="0" fontId="5" fillId="0" borderId="25" xfId="0" applyFont="1" applyBorder="1" applyAlignment="1">
      <alignment horizontal="center" vertical="center"/>
    </xf>
    <xf numFmtId="0" fontId="3" fillId="6" borderId="36" xfId="0" applyFont="1" applyFill="1" applyBorder="1" applyAlignment="1" applyProtection="1">
      <alignment horizontal="center" vertical="center"/>
      <protection hidden="1"/>
    </xf>
    <xf numFmtId="0" fontId="3" fillId="6" borderId="38" xfId="0" applyFont="1" applyFill="1" applyBorder="1" applyAlignment="1" applyProtection="1">
      <alignment horizontal="center" vertical="center"/>
      <protection hidden="1"/>
    </xf>
    <xf numFmtId="0" fontId="3" fillId="6" borderId="43" xfId="0" applyFont="1" applyFill="1" applyBorder="1" applyAlignment="1" applyProtection="1">
      <alignment horizontal="center" vertical="center"/>
      <protection hidden="1"/>
    </xf>
    <xf numFmtId="0" fontId="3" fillId="6" borderId="49" xfId="0" applyFont="1" applyFill="1" applyBorder="1" applyAlignment="1" applyProtection="1">
      <alignment horizontal="center" vertical="center"/>
      <protection hidden="1"/>
    </xf>
    <xf numFmtId="0" fontId="3" fillId="2" borderId="44" xfId="0" applyFont="1" applyFill="1" applyBorder="1" applyAlignment="1" applyProtection="1">
      <alignment horizontal="center" vertical="center"/>
      <protection locked="0"/>
    </xf>
    <xf numFmtId="0" fontId="3" fillId="2" borderId="2" xfId="0" applyFont="1" applyFill="1" applyBorder="1" applyAlignment="1" applyProtection="1">
      <alignment horizontal="center" vertical="center"/>
      <protection locked="0"/>
    </xf>
    <xf numFmtId="0" fontId="3" fillId="6" borderId="46"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locked="0"/>
    </xf>
    <xf numFmtId="0" fontId="2" fillId="2" borderId="27" xfId="0" applyFont="1" applyFill="1" applyBorder="1" applyAlignment="1" applyProtection="1">
      <alignment horizontal="center" vertical="center"/>
      <protection locked="0"/>
    </xf>
    <xf numFmtId="0" fontId="2" fillId="2" borderId="24" xfId="0" applyFont="1" applyFill="1" applyBorder="1" applyAlignment="1" applyProtection="1">
      <alignment horizontal="center" vertical="center"/>
      <protection locked="0"/>
    </xf>
    <xf numFmtId="49" fontId="3" fillId="2" borderId="22" xfId="0" applyNumberFormat="1" applyFont="1" applyFill="1" applyBorder="1" applyAlignment="1" applyProtection="1">
      <alignment horizontal="center" vertical="center"/>
      <protection locked="0"/>
    </xf>
    <xf numFmtId="49" fontId="3" fillId="2" borderId="30" xfId="0" applyNumberFormat="1" applyFont="1" applyFill="1" applyBorder="1" applyAlignment="1" applyProtection="1">
      <alignment horizontal="center" vertical="center"/>
      <protection locked="0"/>
    </xf>
    <xf numFmtId="49" fontId="3" fillId="2" borderId="17" xfId="0" applyNumberFormat="1" applyFont="1" applyFill="1" applyBorder="1" applyAlignment="1" applyProtection="1">
      <alignment horizontal="center" vertical="center"/>
      <protection locked="0"/>
    </xf>
    <xf numFmtId="0" fontId="19" fillId="0" borderId="0" xfId="0" applyFont="1"/>
    <xf numFmtId="0" fontId="17" fillId="2" borderId="46" xfId="0" applyFont="1" applyFill="1" applyBorder="1" applyAlignment="1" applyProtection="1">
      <alignment horizontal="center" vertical="center"/>
      <protection hidden="1"/>
    </xf>
    <xf numFmtId="0" fontId="3" fillId="2" borderId="35" xfId="0" applyFont="1" applyFill="1" applyBorder="1" applyAlignment="1" applyProtection="1">
      <alignment horizontal="center" vertical="center"/>
      <protection locked="0"/>
    </xf>
    <xf numFmtId="0" fontId="3" fillId="2" borderId="34" xfId="0" applyFont="1" applyFill="1" applyBorder="1" applyAlignment="1" applyProtection="1">
      <alignment horizontal="center" vertical="center"/>
      <protection locked="0"/>
    </xf>
    <xf numFmtId="0" fontId="3" fillId="6" borderId="59" xfId="0" applyFont="1" applyFill="1" applyBorder="1" applyAlignment="1" applyProtection="1">
      <alignment horizontal="center" vertical="center"/>
      <protection hidden="1"/>
    </xf>
    <xf numFmtId="0" fontId="3" fillId="2" borderId="55" xfId="0" applyFont="1" applyFill="1" applyBorder="1" applyAlignment="1" applyProtection="1">
      <alignment horizontal="center" vertical="center"/>
      <protection locked="0"/>
    </xf>
    <xf numFmtId="0" fontId="13" fillId="0" borderId="0" xfId="0" applyFont="1" applyAlignment="1">
      <alignment vertical="center"/>
    </xf>
    <xf numFmtId="0" fontId="0" fillId="2" borderId="0" xfId="0" applyFill="1" applyAlignment="1" applyProtection="1">
      <alignment horizontal="left" vertical="center" wrapText="1"/>
      <protection hidden="1"/>
    </xf>
    <xf numFmtId="0" fontId="0" fillId="2" borderId="0" xfId="0" applyFill="1" applyAlignment="1" applyProtection="1">
      <alignment vertical="top" wrapText="1"/>
      <protection hidden="1"/>
    </xf>
    <xf numFmtId="0" fontId="0" fillId="2" borderId="0" xfId="0" applyFill="1" applyAlignment="1" applyProtection="1">
      <alignment horizontal="left"/>
      <protection hidden="1"/>
    </xf>
    <xf numFmtId="0" fontId="0" fillId="2" borderId="0" xfId="0" applyFill="1" applyProtection="1">
      <protection hidden="1"/>
    </xf>
    <xf numFmtId="0" fontId="0" fillId="2" borderId="0" xfId="0" applyFill="1" applyAlignment="1" applyProtection="1">
      <alignment horizontal="center" vertical="center" wrapText="1"/>
      <protection hidden="1"/>
    </xf>
    <xf numFmtId="0" fontId="0" fillId="0" borderId="0" xfId="0" applyAlignment="1">
      <alignment horizontal="center" vertical="center" wrapText="1"/>
    </xf>
    <xf numFmtId="49" fontId="0" fillId="0" borderId="35" xfId="0" applyNumberFormat="1" applyBorder="1" applyAlignment="1" applyProtection="1">
      <alignment horizontal="center" vertical="center" wrapText="1"/>
      <protection hidden="1"/>
    </xf>
    <xf numFmtId="0" fontId="0" fillId="0" borderId="34" xfId="0" applyBorder="1" applyAlignment="1" applyProtection="1">
      <alignment horizontal="center" vertical="center" wrapText="1"/>
      <protection hidden="1"/>
    </xf>
    <xf numFmtId="0" fontId="0" fillId="0" borderId="55" xfId="0" applyBorder="1" applyAlignment="1" applyProtection="1">
      <alignment horizontal="center" vertical="center" wrapText="1"/>
      <protection hidden="1"/>
    </xf>
    <xf numFmtId="49" fontId="0" fillId="0" borderId="27" xfId="0" applyNumberFormat="1" applyBorder="1" applyAlignment="1" applyProtection="1">
      <alignment horizontal="center" vertical="center" wrapText="1"/>
      <protection hidden="1"/>
    </xf>
    <xf numFmtId="0" fontId="0" fillId="0" borderId="28" xfId="0" applyBorder="1" applyAlignment="1" applyProtection="1">
      <alignment horizontal="center" vertical="center" wrapText="1"/>
      <protection hidden="1"/>
    </xf>
    <xf numFmtId="0" fontId="0" fillId="0" borderId="33" xfId="0" applyBorder="1" applyAlignment="1" applyProtection="1">
      <alignment horizontal="center" vertical="center" wrapText="1"/>
      <protection hidden="1"/>
    </xf>
    <xf numFmtId="49" fontId="0" fillId="0" borderId="24" xfId="0" applyNumberFormat="1" applyBorder="1" applyAlignment="1" applyProtection="1">
      <alignment horizontal="center" vertical="center" wrapText="1"/>
      <protection hidden="1"/>
    </xf>
    <xf numFmtId="0" fontId="0" fillId="0" borderId="25" xfId="0" applyBorder="1" applyAlignment="1" applyProtection="1">
      <alignment horizontal="center" vertical="center" wrapText="1"/>
      <protection hidden="1"/>
    </xf>
    <xf numFmtId="0" fontId="0" fillId="0" borderId="21" xfId="0" applyBorder="1" applyAlignment="1" applyProtection="1">
      <alignment horizontal="center" vertical="center" wrapText="1"/>
      <protection hidden="1"/>
    </xf>
    <xf numFmtId="0" fontId="20" fillId="9" borderId="54" xfId="0" applyFont="1" applyFill="1" applyBorder="1" applyAlignment="1" applyProtection="1">
      <alignment horizontal="center" vertical="center" wrapText="1"/>
      <protection hidden="1"/>
    </xf>
    <xf numFmtId="0" fontId="20" fillId="9" borderId="51" xfId="0" applyFont="1" applyFill="1" applyBorder="1" applyAlignment="1" applyProtection="1">
      <alignment horizontal="center" vertical="center" wrapText="1"/>
      <protection hidden="1"/>
    </xf>
    <xf numFmtId="0" fontId="20" fillId="9" borderId="52" xfId="0" applyFont="1" applyFill="1" applyBorder="1" applyAlignment="1" applyProtection="1">
      <alignment horizontal="center" vertical="center" wrapText="1"/>
      <protection hidden="1"/>
    </xf>
    <xf numFmtId="0" fontId="9" fillId="2" borderId="0" xfId="0" applyFont="1" applyFill="1" applyProtection="1">
      <protection hidden="1"/>
    </xf>
    <xf numFmtId="0" fontId="3" fillId="2" borderId="1" xfId="0" applyFont="1" applyFill="1" applyBorder="1" applyAlignment="1">
      <alignment vertical="center"/>
    </xf>
    <xf numFmtId="0" fontId="3" fillId="2" borderId="2" xfId="0" applyFont="1" applyFill="1" applyBorder="1" applyAlignment="1">
      <alignment vertical="center"/>
    </xf>
    <xf numFmtId="0" fontId="5" fillId="2" borderId="2" xfId="0" applyFont="1" applyFill="1" applyBorder="1" applyAlignment="1">
      <alignment horizontal="center" vertical="center"/>
    </xf>
    <xf numFmtId="0" fontId="5" fillId="4" borderId="11" xfId="0" applyFont="1" applyFill="1" applyBorder="1" applyAlignment="1" applyProtection="1">
      <alignment horizontal="center" vertical="center"/>
      <protection hidden="1"/>
    </xf>
    <xf numFmtId="0" fontId="5" fillId="4" borderId="33" xfId="0" applyFont="1" applyFill="1" applyBorder="1" applyAlignment="1" applyProtection="1">
      <alignment horizontal="center" vertical="center"/>
      <protection hidden="1"/>
    </xf>
    <xf numFmtId="0" fontId="5" fillId="4" borderId="21" xfId="0" applyFont="1" applyFill="1" applyBorder="1" applyAlignment="1" applyProtection="1">
      <alignment horizontal="center" vertical="center"/>
      <protection hidden="1"/>
    </xf>
    <xf numFmtId="0" fontId="5" fillId="4" borderId="13" xfId="0" applyFont="1" applyFill="1" applyBorder="1" applyAlignment="1" applyProtection="1">
      <alignment horizontal="center" vertical="center"/>
      <protection hidden="1"/>
    </xf>
    <xf numFmtId="0" fontId="5" fillId="4" borderId="29" xfId="0" applyFont="1" applyFill="1" applyBorder="1" applyAlignment="1" applyProtection="1">
      <alignment horizontal="center" vertical="center"/>
      <protection hidden="1"/>
    </xf>
    <xf numFmtId="0" fontId="5" fillId="4" borderId="19" xfId="0" applyFont="1" applyFill="1" applyBorder="1" applyAlignment="1" applyProtection="1">
      <alignment horizontal="center" vertical="center"/>
      <protection hidden="1"/>
    </xf>
    <xf numFmtId="0" fontId="5" fillId="4" borderId="10" xfId="0" applyFont="1" applyFill="1" applyBorder="1" applyAlignment="1" applyProtection="1">
      <alignment horizontal="center" vertical="center"/>
      <protection hidden="1"/>
    </xf>
    <xf numFmtId="0" fontId="24" fillId="4" borderId="52" xfId="0" applyFont="1" applyFill="1" applyBorder="1" applyAlignment="1" applyProtection="1">
      <alignment horizontal="center" vertical="center"/>
      <protection hidden="1"/>
    </xf>
    <xf numFmtId="0" fontId="3" fillId="6" borderId="65" xfId="0" applyFont="1" applyFill="1" applyBorder="1" applyAlignment="1" applyProtection="1">
      <alignment horizontal="center" vertical="center"/>
      <protection hidden="1"/>
    </xf>
    <xf numFmtId="0" fontId="3" fillId="2" borderId="65" xfId="0" applyFont="1" applyFill="1" applyBorder="1" applyAlignment="1" applyProtection="1">
      <alignment horizontal="center" vertical="center"/>
      <protection locked="0"/>
    </xf>
    <xf numFmtId="0" fontId="3" fillId="5" borderId="46" xfId="0" applyFont="1" applyFill="1" applyBorder="1" applyAlignment="1" applyProtection="1">
      <alignment vertical="center"/>
      <protection hidden="1"/>
    </xf>
    <xf numFmtId="0" fontId="3" fillId="6" borderId="3" xfId="0" applyFont="1" applyFill="1" applyBorder="1" applyAlignment="1" applyProtection="1">
      <alignment horizontal="center" vertical="center"/>
      <protection hidden="1"/>
    </xf>
    <xf numFmtId="0" fontId="3" fillId="2" borderId="36" xfId="0" applyFont="1" applyFill="1" applyBorder="1" applyAlignment="1" applyProtection="1">
      <alignment horizontal="center" vertical="center"/>
      <protection locked="0"/>
    </xf>
    <xf numFmtId="0" fontId="7" fillId="0" borderId="10" xfId="0" applyFont="1" applyBorder="1" applyAlignment="1">
      <alignment horizontal="center" vertical="center"/>
    </xf>
    <xf numFmtId="0" fontId="7" fillId="0" borderId="34" xfId="0" applyFont="1" applyBorder="1" applyAlignment="1">
      <alignment horizontal="center" vertical="center"/>
    </xf>
    <xf numFmtId="14" fontId="0" fillId="0" borderId="28" xfId="0" applyNumberFormat="1" applyBorder="1" applyAlignment="1" applyProtection="1">
      <alignment horizontal="center" vertical="center" wrapText="1"/>
      <protection hidden="1"/>
    </xf>
    <xf numFmtId="0" fontId="17" fillId="0" borderId="34" xfId="0" applyFont="1" applyBorder="1" applyAlignment="1">
      <alignment horizontal="center" vertical="center"/>
    </xf>
    <xf numFmtId="0" fontId="3" fillId="8" borderId="36" xfId="0" applyFont="1" applyFill="1" applyBorder="1" applyAlignment="1">
      <alignment horizontal="center" vertical="center"/>
    </xf>
    <xf numFmtId="0" fontId="3" fillId="0" borderId="11" xfId="0" applyFont="1" applyBorder="1" applyAlignment="1">
      <alignment horizontal="center" vertical="center"/>
    </xf>
    <xf numFmtId="0" fontId="3" fillId="0" borderId="41" xfId="0" applyFont="1" applyBorder="1" applyAlignment="1">
      <alignment horizontal="center" vertical="center"/>
    </xf>
    <xf numFmtId="0" fontId="3" fillId="0" borderId="12" xfId="0" applyFont="1" applyBorder="1" applyAlignment="1">
      <alignment horizontal="center" vertical="center"/>
    </xf>
    <xf numFmtId="0" fontId="16" fillId="0" borderId="24" xfId="0" applyFont="1" applyBorder="1" applyAlignment="1">
      <alignment horizontal="center" vertical="center"/>
    </xf>
    <xf numFmtId="0" fontId="26" fillId="2" borderId="0" xfId="0" applyFont="1" applyFill="1" applyAlignment="1" applyProtection="1">
      <alignment horizontal="center" vertical="center"/>
      <protection hidden="1"/>
    </xf>
    <xf numFmtId="0" fontId="27" fillId="2" borderId="0" xfId="0" applyFont="1" applyFill="1" applyAlignment="1" applyProtection="1">
      <alignment vertical="center" wrapText="1"/>
      <protection hidden="1"/>
    </xf>
    <xf numFmtId="0" fontId="17" fillId="10" borderId="46" xfId="0" applyFont="1" applyFill="1" applyBorder="1" applyAlignment="1" applyProtection="1">
      <alignment horizontal="center" vertical="center"/>
      <protection hidden="1"/>
    </xf>
    <xf numFmtId="0" fontId="2" fillId="5" borderId="7" xfId="0" applyFont="1" applyFill="1" applyBorder="1" applyAlignment="1" applyProtection="1">
      <alignment horizontal="right" vertical="center"/>
      <protection hidden="1"/>
    </xf>
    <xf numFmtId="0" fontId="2" fillId="5" borderId="9" xfId="0" applyFont="1" applyFill="1" applyBorder="1" applyAlignment="1" applyProtection="1">
      <alignment horizontal="right" vertical="center"/>
      <protection hidden="1"/>
    </xf>
    <xf numFmtId="0" fontId="4" fillId="5" borderId="7" xfId="0" applyFont="1" applyFill="1" applyBorder="1" applyAlignment="1" applyProtection="1">
      <alignment horizontal="right" vertical="center"/>
      <protection hidden="1"/>
    </xf>
    <xf numFmtId="0" fontId="4" fillId="5" borderId="9" xfId="0" applyFont="1" applyFill="1" applyBorder="1" applyAlignment="1" applyProtection="1">
      <alignment horizontal="right" vertical="center"/>
      <protection hidden="1"/>
    </xf>
    <xf numFmtId="0" fontId="3" fillId="4" borderId="7" xfId="0" applyFont="1" applyFill="1" applyBorder="1" applyAlignment="1" applyProtection="1">
      <alignment horizontal="center" vertical="center"/>
      <protection hidden="1"/>
    </xf>
    <xf numFmtId="0" fontId="3" fillId="4" borderId="8" xfId="0" applyFont="1" applyFill="1" applyBorder="1" applyAlignment="1" applyProtection="1">
      <alignment horizontal="center" vertical="center"/>
      <protection hidden="1"/>
    </xf>
    <xf numFmtId="0" fontId="3" fillId="4" borderId="9" xfId="0" applyFont="1" applyFill="1" applyBorder="1" applyAlignment="1" applyProtection="1">
      <alignment horizontal="center" vertical="center"/>
      <protection hidden="1"/>
    </xf>
    <xf numFmtId="0" fontId="3" fillId="5" borderId="47" xfId="0" applyFont="1" applyFill="1" applyBorder="1" applyAlignment="1" applyProtection="1">
      <alignment horizontal="center" vertical="center" wrapText="1"/>
      <protection hidden="1"/>
    </xf>
    <xf numFmtId="0" fontId="3" fillId="5" borderId="48" xfId="0" applyFont="1" applyFill="1" applyBorder="1" applyAlignment="1" applyProtection="1">
      <alignment horizontal="center" vertical="center" wrapText="1"/>
      <protection hidden="1"/>
    </xf>
    <xf numFmtId="0" fontId="3" fillId="5" borderId="56" xfId="0" applyFont="1" applyFill="1" applyBorder="1" applyAlignment="1" applyProtection="1">
      <alignment horizontal="center" vertical="center" wrapText="1"/>
      <protection hidden="1"/>
    </xf>
    <xf numFmtId="0" fontId="2" fillId="5" borderId="47" xfId="0" applyFont="1" applyFill="1" applyBorder="1" applyAlignment="1" applyProtection="1">
      <alignment horizontal="center" vertical="center" wrapText="1"/>
      <protection hidden="1"/>
    </xf>
    <xf numFmtId="0" fontId="2" fillId="5" borderId="48" xfId="0" applyFont="1" applyFill="1" applyBorder="1" applyAlignment="1" applyProtection="1">
      <alignment horizontal="center" vertical="center" wrapText="1"/>
      <protection hidden="1"/>
    </xf>
    <xf numFmtId="0" fontId="2" fillId="5" borderId="56" xfId="0" applyFont="1" applyFill="1" applyBorder="1" applyAlignment="1" applyProtection="1">
      <alignment horizontal="center" vertical="center" wrapText="1"/>
      <protection hidden="1"/>
    </xf>
    <xf numFmtId="0" fontId="2" fillId="4" borderId="22" xfId="0" applyFont="1" applyFill="1" applyBorder="1" applyAlignment="1" applyProtection="1">
      <alignment horizontal="center" vertical="center" wrapText="1"/>
      <protection hidden="1"/>
    </xf>
    <xf numFmtId="0" fontId="2" fillId="4" borderId="14" xfId="0" applyFont="1" applyFill="1" applyBorder="1" applyAlignment="1" applyProtection="1">
      <alignment horizontal="center" vertical="center" wrapText="1"/>
      <protection hidden="1"/>
    </xf>
    <xf numFmtId="0" fontId="2" fillId="4" borderId="60" xfId="0" applyFont="1" applyFill="1" applyBorder="1" applyAlignment="1" applyProtection="1">
      <alignment horizontal="center" vertical="center" wrapText="1"/>
      <protection hidden="1"/>
    </xf>
    <xf numFmtId="0" fontId="2" fillId="6" borderId="47" xfId="0" applyFont="1" applyFill="1" applyBorder="1" applyAlignment="1" applyProtection="1">
      <alignment horizontal="center" vertical="center" textRotation="90" wrapText="1"/>
      <protection hidden="1"/>
    </xf>
    <xf numFmtId="0" fontId="2" fillId="6" borderId="48" xfId="0" applyFont="1" applyFill="1" applyBorder="1" applyAlignment="1" applyProtection="1">
      <alignment horizontal="center" vertical="center" textRotation="90" wrapText="1"/>
      <protection hidden="1"/>
    </xf>
    <xf numFmtId="0" fontId="2" fillId="6" borderId="56" xfId="0" applyFont="1" applyFill="1" applyBorder="1" applyAlignment="1" applyProtection="1">
      <alignment horizontal="center" vertical="center" textRotation="90" wrapText="1"/>
      <protection hidden="1"/>
    </xf>
    <xf numFmtId="0" fontId="9" fillId="2" borderId="4" xfId="0" applyFont="1" applyFill="1" applyBorder="1" applyAlignment="1" applyProtection="1">
      <alignment horizontal="center" vertical="center" textRotation="90" wrapText="1"/>
      <protection hidden="1"/>
    </xf>
    <xf numFmtId="0" fontId="15" fillId="2" borderId="0" xfId="0" applyFont="1" applyFill="1" applyAlignment="1" applyProtection="1">
      <alignment horizontal="center" vertical="center"/>
      <protection hidden="1"/>
    </xf>
    <xf numFmtId="0" fontId="2" fillId="3" borderId="7" xfId="0" applyFont="1" applyFill="1" applyBorder="1" applyAlignment="1" applyProtection="1">
      <alignment horizontal="center" vertical="center"/>
      <protection hidden="1"/>
    </xf>
    <xf numFmtId="0" fontId="2" fillId="3" borderId="8" xfId="0" applyFont="1" applyFill="1" applyBorder="1" applyAlignment="1" applyProtection="1">
      <alignment horizontal="center" vertical="center"/>
      <protection hidden="1"/>
    </xf>
    <xf numFmtId="0" fontId="2" fillId="3" borderId="9" xfId="0" applyFont="1" applyFill="1" applyBorder="1" applyAlignment="1" applyProtection="1">
      <alignment horizontal="center" vertical="center"/>
      <protection hidden="1"/>
    </xf>
    <xf numFmtId="0" fontId="2" fillId="2" borderId="7" xfId="0" applyFont="1" applyFill="1" applyBorder="1" applyAlignment="1" applyProtection="1">
      <alignment horizontal="center" vertical="center"/>
      <protection locked="0"/>
    </xf>
    <xf numFmtId="0" fontId="2" fillId="2" borderId="8" xfId="0"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4" borderId="7" xfId="0" applyFont="1" applyFill="1" applyBorder="1" applyAlignment="1" applyProtection="1">
      <alignment horizontal="center" vertical="center" wrapText="1"/>
      <protection hidden="1"/>
    </xf>
    <xf numFmtId="0" fontId="2" fillId="4" borderId="8" xfId="0" applyFont="1" applyFill="1" applyBorder="1" applyAlignment="1" applyProtection="1">
      <alignment horizontal="center" vertical="center" wrapText="1"/>
      <protection hidden="1"/>
    </xf>
    <xf numFmtId="0" fontId="2" fillId="4" borderId="9" xfId="0" applyFont="1" applyFill="1" applyBorder="1" applyAlignment="1" applyProtection="1">
      <alignment horizontal="center" vertical="center" wrapText="1"/>
      <protection hidden="1"/>
    </xf>
    <xf numFmtId="0" fontId="2" fillId="3" borderId="22" xfId="0" applyFont="1" applyFill="1" applyBorder="1" applyAlignment="1" applyProtection="1">
      <alignment horizontal="center" vertical="center"/>
      <protection hidden="1"/>
    </xf>
    <xf numFmtId="0" fontId="2" fillId="3" borderId="14" xfId="0" applyFont="1" applyFill="1" applyBorder="1" applyAlignment="1" applyProtection="1">
      <alignment horizontal="center" vertical="center"/>
      <protection hidden="1"/>
    </xf>
    <xf numFmtId="0" fontId="2" fillId="3" borderId="60" xfId="0" applyFont="1" applyFill="1" applyBorder="1" applyAlignment="1" applyProtection="1">
      <alignment horizontal="center" vertical="center"/>
      <protection hidden="1"/>
    </xf>
    <xf numFmtId="0" fontId="2" fillId="3" borderId="30" xfId="0" applyFont="1" applyFill="1" applyBorder="1" applyAlignment="1" applyProtection="1">
      <alignment horizontal="center" vertical="center"/>
      <protection hidden="1"/>
    </xf>
    <xf numFmtId="0" fontId="2" fillId="3" borderId="32" xfId="0" applyFont="1" applyFill="1" applyBorder="1" applyAlignment="1" applyProtection="1">
      <alignment horizontal="center" vertical="center"/>
      <protection hidden="1"/>
    </xf>
    <xf numFmtId="0" fontId="2" fillId="3" borderId="37" xfId="0" applyFont="1" applyFill="1" applyBorder="1" applyAlignment="1" applyProtection="1">
      <alignment horizontal="center" vertical="center"/>
      <protection hidden="1"/>
    </xf>
    <xf numFmtId="0" fontId="2" fillId="3" borderId="17" xfId="0" applyFont="1" applyFill="1" applyBorder="1" applyAlignment="1" applyProtection="1">
      <alignment horizontal="center" vertical="center"/>
      <protection hidden="1"/>
    </xf>
    <xf numFmtId="0" fontId="2" fillId="3" borderId="18" xfId="0" applyFont="1" applyFill="1" applyBorder="1" applyAlignment="1" applyProtection="1">
      <alignment horizontal="center" vertical="center"/>
      <protection hidden="1"/>
    </xf>
    <xf numFmtId="0" fontId="2" fillId="3" borderId="26" xfId="0" applyFont="1" applyFill="1" applyBorder="1" applyAlignment="1" applyProtection="1">
      <alignment horizontal="center" vertical="center"/>
      <protection hidden="1"/>
    </xf>
    <xf numFmtId="164" fontId="2" fillId="8" borderId="29" xfId="0" applyNumberFormat="1" applyFont="1" applyFill="1" applyBorder="1" applyAlignment="1" applyProtection="1">
      <alignment horizontal="center"/>
      <protection locked="0"/>
    </xf>
    <xf numFmtId="164" fontId="2" fillId="8" borderId="32" xfId="0" applyNumberFormat="1" applyFont="1" applyFill="1" applyBorder="1" applyAlignment="1" applyProtection="1">
      <alignment horizontal="center"/>
      <protection locked="0"/>
    </xf>
    <xf numFmtId="164" fontId="2" fillId="8" borderId="37" xfId="0" applyNumberFormat="1" applyFont="1" applyFill="1" applyBorder="1" applyAlignment="1" applyProtection="1">
      <alignment horizontal="center"/>
      <protection locked="0"/>
    </xf>
    <xf numFmtId="0" fontId="3" fillId="2" borderId="29" xfId="0" applyFont="1" applyFill="1" applyBorder="1" applyAlignment="1" applyProtection="1">
      <alignment horizontal="center"/>
      <protection locked="0"/>
    </xf>
    <xf numFmtId="0" fontId="3" fillId="2" borderId="32" xfId="0" applyFont="1" applyFill="1" applyBorder="1" applyAlignment="1" applyProtection="1">
      <alignment horizontal="center"/>
      <protection locked="0"/>
    </xf>
    <xf numFmtId="0" fontId="3" fillId="2" borderId="37" xfId="0" applyFont="1" applyFill="1" applyBorder="1" applyAlignment="1" applyProtection="1">
      <alignment horizontal="center"/>
      <protection locked="0"/>
    </xf>
    <xf numFmtId="0" fontId="2" fillId="8" borderId="29" xfId="0" applyFont="1" applyFill="1" applyBorder="1" applyAlignment="1" applyProtection="1">
      <alignment horizontal="center"/>
      <protection locked="0"/>
    </xf>
    <xf numFmtId="0" fontId="2" fillId="8" borderId="32" xfId="0" applyFont="1" applyFill="1" applyBorder="1" applyAlignment="1" applyProtection="1">
      <alignment horizontal="center"/>
      <protection locked="0"/>
    </xf>
    <xf numFmtId="0" fontId="2" fillId="8" borderId="37" xfId="0" applyFont="1" applyFill="1" applyBorder="1" applyAlignment="1" applyProtection="1">
      <alignment horizontal="center"/>
      <protection locked="0"/>
    </xf>
    <xf numFmtId="0" fontId="2" fillId="0" borderId="19" xfId="0" applyFont="1" applyBorder="1" applyAlignment="1" applyProtection="1">
      <alignment horizontal="center"/>
      <protection locked="0"/>
    </xf>
    <xf numFmtId="0" fontId="2" fillId="0" borderId="18" xfId="0" applyFont="1" applyBorder="1" applyAlignment="1" applyProtection="1">
      <alignment horizontal="center"/>
      <protection locked="0"/>
    </xf>
    <xf numFmtId="0" fontId="2" fillId="0" borderId="26" xfId="0" applyFont="1" applyBorder="1" applyAlignment="1" applyProtection="1">
      <alignment horizontal="center"/>
      <protection locked="0"/>
    </xf>
    <xf numFmtId="0" fontId="2" fillId="3" borderId="16" xfId="0" applyFont="1" applyFill="1" applyBorder="1" applyAlignment="1" applyProtection="1">
      <alignment horizontal="center" vertical="center"/>
      <protection hidden="1"/>
    </xf>
    <xf numFmtId="0" fontId="2" fillId="3" borderId="31" xfId="0" applyFont="1" applyFill="1" applyBorder="1" applyAlignment="1" applyProtection="1">
      <alignment horizontal="center" vertical="center"/>
      <protection hidden="1"/>
    </xf>
    <xf numFmtId="0" fontId="2" fillId="3" borderId="20" xfId="0" applyFont="1" applyFill="1" applyBorder="1" applyAlignment="1" applyProtection="1">
      <alignment horizontal="center" vertical="center"/>
      <protection hidden="1"/>
    </xf>
    <xf numFmtId="0" fontId="2" fillId="2" borderId="13" xfId="0" applyFont="1" applyFill="1" applyBorder="1" applyAlignment="1" applyProtection="1">
      <alignment horizontal="center"/>
      <protection locked="0"/>
    </xf>
    <xf numFmtId="0" fontId="2" fillId="2" borderId="14" xfId="0" applyFont="1" applyFill="1" applyBorder="1" applyAlignment="1" applyProtection="1">
      <alignment horizontal="center"/>
      <protection locked="0"/>
    </xf>
    <xf numFmtId="0" fontId="2" fillId="2" borderId="60" xfId="0" applyFont="1" applyFill="1" applyBorder="1" applyAlignment="1" applyProtection="1">
      <alignment horizontal="center"/>
      <protection locked="0"/>
    </xf>
    <xf numFmtId="0" fontId="5" fillId="2" borderId="0" xfId="0" applyFont="1" applyFill="1" applyAlignment="1" applyProtection="1">
      <alignment horizontal="left" vertical="center"/>
      <protection hidden="1"/>
    </xf>
    <xf numFmtId="0" fontId="11" fillId="2" borderId="0" xfId="0" applyFont="1" applyFill="1" applyAlignment="1" applyProtection="1">
      <alignment horizontal="left" vertical="center"/>
      <protection hidden="1"/>
    </xf>
    <xf numFmtId="0" fontId="5" fillId="2" borderId="0" xfId="0" applyFont="1" applyFill="1" applyAlignment="1" applyProtection="1">
      <alignment horizontal="left" vertical="center" wrapText="1"/>
      <protection hidden="1"/>
    </xf>
    <xf numFmtId="0" fontId="2" fillId="7" borderId="7" xfId="0" applyFont="1" applyFill="1" applyBorder="1" applyAlignment="1" applyProtection="1">
      <alignment horizontal="center" vertical="center"/>
      <protection hidden="1"/>
    </xf>
    <xf numFmtId="0" fontId="2" fillId="7" borderId="8" xfId="0" applyFont="1" applyFill="1" applyBorder="1" applyAlignment="1" applyProtection="1">
      <alignment horizontal="center" vertical="center"/>
      <protection hidden="1"/>
    </xf>
    <xf numFmtId="0" fontId="2" fillId="7" borderId="9" xfId="0" applyFont="1" applyFill="1" applyBorder="1" applyAlignment="1" applyProtection="1">
      <alignment horizontal="center" vertical="center"/>
      <protection hidden="1"/>
    </xf>
    <xf numFmtId="0" fontId="2" fillId="2" borderId="7" xfId="0" applyFont="1" applyFill="1" applyBorder="1" applyAlignment="1" applyProtection="1">
      <alignment horizontal="center" vertical="center"/>
      <protection hidden="1"/>
    </xf>
    <xf numFmtId="0" fontId="2" fillId="2" borderId="8"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7" borderId="30" xfId="0" applyFont="1" applyFill="1" applyBorder="1" applyAlignment="1" applyProtection="1">
      <alignment horizontal="center" vertical="center"/>
      <protection hidden="1"/>
    </xf>
    <xf numFmtId="0" fontId="2" fillId="7" borderId="37" xfId="0" applyFont="1" applyFill="1" applyBorder="1" applyAlignment="1" applyProtection="1">
      <alignment horizontal="center" vertical="center"/>
      <protection hidden="1"/>
    </xf>
    <xf numFmtId="0" fontId="3" fillId="2" borderId="30" xfId="0" applyFont="1" applyFill="1" applyBorder="1" applyAlignment="1" applyProtection="1">
      <alignment horizontal="center"/>
      <protection hidden="1"/>
    </xf>
    <xf numFmtId="0" fontId="3" fillId="2" borderId="32" xfId="0" applyFont="1" applyFill="1" applyBorder="1" applyAlignment="1" applyProtection="1">
      <alignment horizontal="center"/>
      <protection hidden="1"/>
    </xf>
    <xf numFmtId="0" fontId="3" fillId="2" borderId="37" xfId="0" applyFont="1" applyFill="1" applyBorder="1" applyAlignment="1" applyProtection="1">
      <alignment horizontal="center"/>
      <protection hidden="1"/>
    </xf>
    <xf numFmtId="0" fontId="7" fillId="7" borderId="1" xfId="0" applyFont="1" applyFill="1" applyBorder="1" applyAlignment="1" applyProtection="1">
      <alignment horizontal="center"/>
      <protection hidden="1"/>
    </xf>
    <xf numFmtId="0" fontId="7" fillId="7" borderId="2" xfId="0" applyFont="1" applyFill="1" applyBorder="1" applyAlignment="1" applyProtection="1">
      <alignment horizontal="center"/>
      <protection hidden="1"/>
    </xf>
    <xf numFmtId="0" fontId="7" fillId="7" borderId="44" xfId="0" applyFont="1" applyFill="1" applyBorder="1" applyAlignment="1" applyProtection="1">
      <alignment horizontal="center"/>
      <protection hidden="1"/>
    </xf>
    <xf numFmtId="0" fontId="2" fillId="7" borderId="22" xfId="0" applyFont="1" applyFill="1" applyBorder="1" applyAlignment="1" applyProtection="1">
      <alignment horizontal="center" vertical="center"/>
      <protection hidden="1"/>
    </xf>
    <xf numFmtId="0" fontId="2" fillId="7" borderId="60" xfId="0" applyFont="1" applyFill="1" applyBorder="1" applyAlignment="1" applyProtection="1">
      <alignment horizontal="center" vertical="center"/>
      <protection hidden="1"/>
    </xf>
    <xf numFmtId="0" fontId="2" fillId="2" borderId="22" xfId="0" applyFont="1" applyFill="1" applyBorder="1" applyAlignment="1" applyProtection="1">
      <alignment horizontal="center"/>
      <protection hidden="1"/>
    </xf>
    <xf numFmtId="0" fontId="2" fillId="2" borderId="14" xfId="0" applyFont="1" applyFill="1" applyBorder="1" applyAlignment="1" applyProtection="1">
      <alignment horizontal="center"/>
      <protection hidden="1"/>
    </xf>
    <xf numFmtId="0" fontId="2" fillId="2" borderId="60" xfId="0" applyFont="1" applyFill="1" applyBorder="1" applyAlignment="1" applyProtection="1">
      <alignment horizontal="center"/>
      <protection hidden="1"/>
    </xf>
    <xf numFmtId="14" fontId="2" fillId="2" borderId="30" xfId="0" applyNumberFormat="1" applyFont="1" applyFill="1" applyBorder="1" applyAlignment="1" applyProtection="1">
      <alignment horizontal="center"/>
      <protection hidden="1"/>
    </xf>
    <xf numFmtId="14" fontId="2" fillId="2" borderId="32" xfId="0" applyNumberFormat="1" applyFont="1" applyFill="1" applyBorder="1" applyAlignment="1" applyProtection="1">
      <alignment horizontal="center"/>
      <protection hidden="1"/>
    </xf>
    <xf numFmtId="14" fontId="2" fillId="2" borderId="37" xfId="0" applyNumberFormat="1" applyFont="1" applyFill="1" applyBorder="1" applyAlignment="1" applyProtection="1">
      <alignment horizontal="center"/>
      <protection hidden="1"/>
    </xf>
    <xf numFmtId="0" fontId="7" fillId="2" borderId="12" xfId="0" applyFont="1" applyFill="1" applyBorder="1" applyAlignment="1" applyProtection="1">
      <alignment horizontal="center"/>
      <protection locked="0"/>
    </xf>
    <xf numFmtId="0" fontId="7" fillId="2" borderId="15" xfId="0" applyFont="1" applyFill="1" applyBorder="1" applyAlignment="1" applyProtection="1">
      <alignment horizontal="center"/>
      <protection locked="0"/>
    </xf>
    <xf numFmtId="0" fontId="7" fillId="2" borderId="27" xfId="0" applyFont="1" applyFill="1" applyBorder="1" applyAlignment="1" applyProtection="1">
      <alignment horizontal="center"/>
      <protection locked="0"/>
    </xf>
    <xf numFmtId="0" fontId="7" fillId="2" borderId="28" xfId="0" applyFont="1" applyFill="1" applyBorder="1" applyAlignment="1" applyProtection="1">
      <alignment horizontal="center"/>
      <protection locked="0"/>
    </xf>
    <xf numFmtId="0" fontId="25" fillId="2" borderId="0" xfId="0" applyFont="1" applyFill="1" applyAlignment="1" applyProtection="1">
      <alignment horizontal="left" vertical="center"/>
      <protection hidden="1"/>
    </xf>
    <xf numFmtId="0" fontId="7" fillId="7" borderId="64" xfId="0" applyFont="1" applyFill="1" applyBorder="1" applyAlignment="1" applyProtection="1">
      <alignment horizontal="center"/>
      <protection hidden="1"/>
    </xf>
    <xf numFmtId="0" fontId="7" fillId="7" borderId="3" xfId="0" applyFont="1" applyFill="1" applyBorder="1" applyAlignment="1" applyProtection="1">
      <alignment horizontal="center"/>
      <protection hidden="1"/>
    </xf>
    <xf numFmtId="0" fontId="7" fillId="2" borderId="17" xfId="0" applyFont="1" applyFill="1" applyBorder="1" applyAlignment="1" applyProtection="1">
      <alignment horizontal="center"/>
      <protection locked="0"/>
    </xf>
    <xf numFmtId="0" fontId="7" fillId="2" borderId="18" xfId="0" applyFont="1" applyFill="1" applyBorder="1" applyAlignment="1" applyProtection="1">
      <alignment horizontal="center"/>
      <protection locked="0"/>
    </xf>
    <xf numFmtId="0" fontId="7" fillId="2" borderId="20" xfId="0" applyFont="1" applyFill="1" applyBorder="1" applyAlignment="1" applyProtection="1">
      <alignment horizontal="center"/>
      <protection locked="0"/>
    </xf>
    <xf numFmtId="0" fontId="2" fillId="2" borderId="30" xfId="0" applyFont="1" applyFill="1" applyBorder="1" applyAlignment="1" applyProtection="1">
      <alignment horizontal="center"/>
      <protection hidden="1"/>
    </xf>
    <xf numFmtId="0" fontId="2" fillId="2" borderId="32" xfId="0" applyFont="1" applyFill="1" applyBorder="1" applyAlignment="1" applyProtection="1">
      <alignment horizontal="center"/>
      <protection hidden="1"/>
    </xf>
    <xf numFmtId="0" fontId="2" fillId="2" borderId="37" xfId="0" applyFont="1" applyFill="1" applyBorder="1" applyAlignment="1" applyProtection="1">
      <alignment horizontal="center"/>
      <protection hidden="1"/>
    </xf>
    <xf numFmtId="0" fontId="7" fillId="2" borderId="25" xfId="0" applyFont="1" applyFill="1" applyBorder="1" applyAlignment="1" applyProtection="1">
      <alignment horizontal="center"/>
      <protection locked="0"/>
    </xf>
    <xf numFmtId="0" fontId="7" fillId="2" borderId="21" xfId="0" applyFont="1" applyFill="1" applyBorder="1" applyAlignment="1" applyProtection="1">
      <alignment horizontal="center"/>
      <protection locked="0"/>
    </xf>
    <xf numFmtId="0" fontId="7" fillId="2" borderId="11" xfId="0" applyFont="1" applyFill="1" applyBorder="1" applyAlignment="1" applyProtection="1">
      <alignment horizontal="center"/>
      <protection locked="0"/>
    </xf>
    <xf numFmtId="0" fontId="7" fillId="2" borderId="33" xfId="0" applyFont="1" applyFill="1" applyBorder="1" applyAlignment="1" applyProtection="1">
      <alignment horizontal="center"/>
      <protection locked="0"/>
    </xf>
    <xf numFmtId="0" fontId="2" fillId="2" borderId="1" xfId="0" applyFont="1" applyFill="1" applyBorder="1" applyAlignment="1" applyProtection="1">
      <alignment horizontal="center" vertical="center" wrapText="1"/>
      <protection hidden="1"/>
    </xf>
    <xf numFmtId="0" fontId="2" fillId="2" borderId="2" xfId="0" applyFont="1" applyFill="1" applyBorder="1" applyAlignment="1" applyProtection="1">
      <alignment horizontal="center" vertical="center" wrapText="1"/>
      <protection hidden="1"/>
    </xf>
    <xf numFmtId="0" fontId="2" fillId="2" borderId="3" xfId="0" applyFont="1" applyFill="1" applyBorder="1" applyAlignment="1" applyProtection="1">
      <alignment horizontal="center" vertical="center" wrapText="1"/>
      <protection hidden="1"/>
    </xf>
    <xf numFmtId="0" fontId="2" fillId="2" borderId="4"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2" fillId="2" borderId="4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xf numFmtId="0" fontId="2" fillId="2" borderId="4" xfId="0" applyFont="1" applyFill="1" applyBorder="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2" fillId="2" borderId="6" xfId="0" applyFont="1" applyFill="1" applyBorder="1" applyAlignment="1" applyProtection="1">
      <alignment horizontal="center" vertical="center"/>
      <protection locked="0"/>
    </xf>
    <xf numFmtId="0" fontId="2" fillId="2" borderId="23"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0" fontId="2" fillId="2" borderId="45" xfId="0" applyFont="1" applyFill="1" applyBorder="1" applyAlignment="1" applyProtection="1">
      <alignment horizontal="center" vertical="center"/>
      <protection locked="0"/>
    </xf>
    <xf numFmtId="0" fontId="14" fillId="2" borderId="0" xfId="0" applyFont="1" applyFill="1" applyAlignment="1" applyProtection="1">
      <alignment horizontal="left"/>
      <protection hidden="1"/>
    </xf>
    <xf numFmtId="0" fontId="14" fillId="2" borderId="5" xfId="0" applyFont="1" applyFill="1" applyBorder="1" applyAlignment="1" applyProtection="1">
      <alignment horizontal="left"/>
      <protection hidden="1"/>
    </xf>
    <xf numFmtId="0" fontId="2" fillId="7" borderId="17" xfId="0" applyFont="1" applyFill="1" applyBorder="1" applyAlignment="1" applyProtection="1">
      <alignment horizontal="center" vertical="center"/>
      <protection hidden="1"/>
    </xf>
    <xf numFmtId="0" fontId="2" fillId="7" borderId="26" xfId="0" applyFont="1" applyFill="1" applyBorder="1" applyAlignment="1" applyProtection="1">
      <alignment horizontal="center" vertical="center"/>
      <protection hidden="1"/>
    </xf>
    <xf numFmtId="0" fontId="2" fillId="2" borderId="17" xfId="0" applyFont="1" applyFill="1" applyBorder="1" applyAlignment="1" applyProtection="1">
      <alignment horizontal="center"/>
      <protection hidden="1"/>
    </xf>
    <xf numFmtId="0" fontId="2" fillId="2" borderId="18" xfId="0" applyFont="1" applyFill="1" applyBorder="1" applyAlignment="1" applyProtection="1">
      <alignment horizontal="center"/>
      <protection hidden="1"/>
    </xf>
    <xf numFmtId="0" fontId="2" fillId="2" borderId="26" xfId="0" applyFont="1" applyFill="1" applyBorder="1" applyAlignment="1" applyProtection="1">
      <alignment horizontal="center"/>
      <protection hidden="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2" fillId="0" borderId="60" xfId="0" applyFont="1" applyBorder="1" applyAlignment="1">
      <alignment horizontal="center" vertical="center"/>
    </xf>
    <xf numFmtId="0" fontId="2" fillId="0" borderId="22" xfId="0" applyFont="1" applyBorder="1" applyAlignment="1">
      <alignment horizontal="center" vertical="center"/>
    </xf>
    <xf numFmtId="0" fontId="13" fillId="0" borderId="0" xfId="0" applyFont="1" applyAlignment="1">
      <alignment horizontal="center" vertical="center"/>
    </xf>
    <xf numFmtId="0" fontId="4" fillId="8" borderId="7" xfId="0" applyFont="1" applyFill="1" applyBorder="1" applyAlignment="1">
      <alignment horizontal="left" vertical="center"/>
    </xf>
    <xf numFmtId="0" fontId="4" fillId="8" borderId="8" xfId="0" applyFont="1" applyFill="1" applyBorder="1" applyAlignment="1">
      <alignment horizontal="left" vertical="center"/>
    </xf>
    <xf numFmtId="0" fontId="4" fillId="8" borderId="9" xfId="0" applyFont="1" applyFill="1" applyBorder="1" applyAlignment="1">
      <alignment horizontal="left"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0" xfId="0" applyFont="1" applyBorder="1" applyAlignment="1">
      <alignment horizontal="center" vertical="center"/>
    </xf>
    <xf numFmtId="0" fontId="2" fillId="0" borderId="19" xfId="0" applyFont="1" applyBorder="1" applyAlignment="1">
      <alignment horizontal="center" vertical="center"/>
    </xf>
    <xf numFmtId="0" fontId="2" fillId="0" borderId="26" xfId="0" applyFont="1" applyBorder="1" applyAlignment="1">
      <alignment horizontal="center" vertical="center"/>
    </xf>
    <xf numFmtId="0" fontId="3" fillId="0" borderId="15" xfId="0" applyFont="1" applyBorder="1" applyAlignment="1">
      <alignment horizontal="center" vertical="center"/>
    </xf>
    <xf numFmtId="0" fontId="3" fillId="0" borderId="34" xfId="0" applyFont="1" applyBorder="1" applyAlignment="1">
      <alignment horizontal="center" vertical="center"/>
    </xf>
    <xf numFmtId="0" fontId="3" fillId="0" borderId="55" xfId="0" applyFont="1" applyBorder="1" applyAlignment="1">
      <alignment horizontal="center" vertical="center"/>
    </xf>
    <xf numFmtId="0" fontId="3" fillId="0" borderId="22" xfId="0" applyFont="1" applyBorder="1" applyAlignment="1">
      <alignment horizontal="center" vertical="center"/>
    </xf>
    <xf numFmtId="0" fontId="3" fillId="0" borderId="16"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7" fillId="2" borderId="4" xfId="0" applyFont="1" applyFill="1" applyBorder="1" applyAlignment="1">
      <alignment horizontal="center" vertical="center"/>
    </xf>
    <xf numFmtId="0" fontId="7" fillId="2" borderId="0" xfId="0" applyFont="1" applyFill="1" applyAlignment="1">
      <alignment horizontal="center" vertical="center"/>
    </xf>
    <xf numFmtId="0" fontId="7" fillId="2" borderId="66" xfId="0" applyFont="1" applyFill="1" applyBorder="1" applyAlignment="1">
      <alignment horizontal="center" vertical="center"/>
    </xf>
    <xf numFmtId="0" fontId="12" fillId="0" borderId="67" xfId="0" applyFont="1" applyBorder="1" applyAlignment="1">
      <alignment horizontal="center" vertical="center"/>
    </xf>
    <xf numFmtId="0" fontId="12" fillId="0" borderId="65" xfId="0" applyFont="1" applyBorder="1" applyAlignment="1">
      <alignment horizontal="center" vertical="center"/>
    </xf>
    <xf numFmtId="0" fontId="12" fillId="0" borderId="68" xfId="0" applyFont="1" applyBorder="1" applyAlignment="1">
      <alignment horizontal="center" vertical="center"/>
    </xf>
    <xf numFmtId="0" fontId="12" fillId="0" borderId="54" xfId="0" applyFont="1" applyBorder="1" applyAlignment="1">
      <alignment horizontal="center" vertical="center"/>
    </xf>
    <xf numFmtId="0" fontId="12" fillId="0" borderId="52" xfId="0" applyFont="1" applyBorder="1" applyAlignment="1">
      <alignment horizontal="center" vertical="center"/>
    </xf>
    <xf numFmtId="0" fontId="12" fillId="0" borderId="51" xfId="0" applyFont="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3" fillId="0" borderId="28" xfId="0" applyFont="1" applyBorder="1" applyAlignment="1">
      <alignment horizontal="center" vertical="center"/>
    </xf>
    <xf numFmtId="0" fontId="3" fillId="0" borderId="33"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16" fillId="0" borderId="17" xfId="0" applyFont="1" applyBorder="1" applyAlignment="1">
      <alignment horizontal="center" vertical="center"/>
    </xf>
    <xf numFmtId="0" fontId="16" fillId="0" borderId="20" xfId="0" applyFont="1" applyBorder="1" applyAlignment="1">
      <alignment horizontal="center" vertical="center"/>
    </xf>
    <xf numFmtId="0" fontId="3" fillId="0" borderId="39" xfId="0" applyFont="1" applyBorder="1" applyAlignment="1">
      <alignment horizontal="center" vertical="center"/>
    </xf>
    <xf numFmtId="0" fontId="7" fillId="0" borderId="12" xfId="0" applyFont="1" applyBorder="1" applyAlignment="1">
      <alignment horizontal="center" vertical="center"/>
    </xf>
    <xf numFmtId="0" fontId="7" fillId="0" borderId="27" xfId="0" applyFont="1" applyBorder="1" applyAlignment="1">
      <alignment horizontal="center" vertical="center"/>
    </xf>
    <xf numFmtId="0" fontId="7" fillId="0" borderId="24"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8" borderId="27" xfId="0" applyFont="1" applyFill="1" applyBorder="1" applyAlignment="1">
      <alignment horizontal="center" vertical="center"/>
    </xf>
    <xf numFmtId="0" fontId="7" fillId="8" borderId="33" xfId="0" applyFont="1" applyFill="1" applyBorder="1" applyAlignment="1">
      <alignment horizontal="center" vertical="center"/>
    </xf>
    <xf numFmtId="0" fontId="7" fillId="0" borderId="35" xfId="0" applyFont="1" applyBorder="1" applyAlignment="1">
      <alignment horizontal="center"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0" fontId="3" fillId="8" borderId="12" xfId="0" applyFont="1" applyFill="1" applyBorder="1" applyAlignment="1">
      <alignment horizontal="center" vertical="center"/>
    </xf>
    <xf numFmtId="0" fontId="3" fillId="8" borderId="11" xfId="0" applyFont="1" applyFill="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16" xfId="0" applyFont="1" applyBorder="1" applyAlignment="1">
      <alignment horizontal="center" vertical="center"/>
    </xf>
    <xf numFmtId="0" fontId="17" fillId="0" borderId="29" xfId="0" applyFont="1" applyBorder="1" applyAlignment="1">
      <alignment horizontal="center" vertical="center"/>
    </xf>
    <xf numFmtId="0" fontId="17" fillId="0" borderId="32" xfId="0" applyFont="1" applyBorder="1" applyAlignment="1">
      <alignment horizontal="center" vertical="center"/>
    </xf>
    <xf numFmtId="0" fontId="17" fillId="0" borderId="31" xfId="0" applyFont="1" applyBorder="1" applyAlignment="1">
      <alignment horizontal="center" vertical="center"/>
    </xf>
    <xf numFmtId="0" fontId="17" fillId="0" borderId="19" xfId="0" applyFont="1" applyBorder="1" applyAlignment="1">
      <alignment horizontal="center" vertical="center"/>
    </xf>
    <xf numFmtId="0" fontId="17" fillId="0" borderId="18" xfId="0" applyFont="1" applyBorder="1" applyAlignment="1">
      <alignment horizontal="center" vertical="center"/>
    </xf>
    <xf numFmtId="0" fontId="17" fillId="0" borderId="20" xfId="0" applyFont="1" applyBorder="1" applyAlignment="1">
      <alignment horizontal="center" vertical="center"/>
    </xf>
    <xf numFmtId="0" fontId="5" fillId="0" borderId="12" xfId="0" applyFont="1" applyBorder="1" applyAlignment="1">
      <alignment horizontal="center" vertical="center"/>
    </xf>
    <xf numFmtId="0" fontId="5" fillId="0" borderId="15" xfId="0" applyFont="1" applyBorder="1" applyAlignment="1">
      <alignment horizontal="center" vertical="center"/>
    </xf>
    <xf numFmtId="0" fontId="5" fillId="0" borderId="11" xfId="0" applyFont="1" applyBorder="1" applyAlignment="1">
      <alignment horizontal="center" vertical="center"/>
    </xf>
    <xf numFmtId="0" fontId="5" fillId="0" borderId="35" xfId="0" applyFont="1" applyBorder="1" applyAlignment="1">
      <alignment horizontal="center" vertical="center"/>
    </xf>
    <xf numFmtId="0" fontId="5" fillId="0" borderId="34" xfId="0" applyFont="1" applyBorder="1" applyAlignment="1">
      <alignment horizontal="center" vertical="center"/>
    </xf>
    <xf numFmtId="0" fontId="5" fillId="0" borderId="55" xfId="0" applyFont="1" applyBorder="1" applyAlignment="1">
      <alignment horizontal="center" vertical="center"/>
    </xf>
    <xf numFmtId="0" fontId="5" fillId="0" borderId="57" xfId="0" applyFont="1" applyBorder="1" applyAlignment="1">
      <alignment horizontal="center" vertical="center"/>
    </xf>
    <xf numFmtId="0" fontId="7" fillId="0" borderId="39" xfId="0" applyFont="1" applyBorder="1" applyAlignment="1">
      <alignment horizontal="center" vertical="center"/>
    </xf>
    <xf numFmtId="0" fontId="7" fillId="0" borderId="40" xfId="0" applyFont="1" applyBorder="1" applyAlignment="1">
      <alignment horizontal="center" vertical="center"/>
    </xf>
    <xf numFmtId="0" fontId="7" fillId="8" borderId="41" xfId="0" applyFont="1" applyFill="1" applyBorder="1" applyAlignment="1">
      <alignment horizontal="center" vertical="center"/>
    </xf>
    <xf numFmtId="0" fontId="7" fillId="8" borderId="42" xfId="0" applyFont="1" applyFill="1" applyBorder="1" applyAlignment="1">
      <alignment horizontal="center" vertical="center"/>
    </xf>
    <xf numFmtId="0" fontId="7" fillId="0" borderId="25" xfId="0" applyFont="1" applyBorder="1" applyAlignment="1">
      <alignment horizontal="center" vertical="center"/>
    </xf>
    <xf numFmtId="0" fontId="5" fillId="0" borderId="10"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33" xfId="0" applyFont="1" applyBorder="1" applyAlignment="1">
      <alignment horizontal="center" vertical="center"/>
    </xf>
    <xf numFmtId="0" fontId="4" fillId="0" borderId="41" xfId="0" applyFont="1" applyBorder="1" applyAlignment="1">
      <alignment horizontal="center" vertical="center"/>
    </xf>
    <xf numFmtId="0" fontId="4" fillId="0" borderId="39" xfId="0" applyFont="1" applyBorder="1" applyAlignment="1">
      <alignment horizontal="center" vertical="center"/>
    </xf>
    <xf numFmtId="0" fontId="4" fillId="0" borderId="42" xfId="0" applyFont="1" applyBorder="1" applyAlignment="1">
      <alignment horizontal="center" vertical="center"/>
    </xf>
    <xf numFmtId="0" fontId="2" fillId="0" borderId="31"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25" xfId="0" applyFont="1" applyBorder="1" applyAlignment="1">
      <alignment horizontal="center" vertical="center"/>
    </xf>
    <xf numFmtId="0" fontId="2" fillId="0" borderId="21"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xf>
    <xf numFmtId="0" fontId="4" fillId="0" borderId="11" xfId="0" applyFont="1" applyBorder="1" applyAlignment="1">
      <alignment horizontal="center" vertical="center"/>
    </xf>
    <xf numFmtId="0" fontId="7" fillId="0" borderId="11" xfId="0" applyFont="1" applyBorder="1" applyAlignment="1">
      <alignment horizontal="center" vertical="center"/>
    </xf>
    <xf numFmtId="0" fontId="7" fillId="0" borderId="33" xfId="0" applyFont="1" applyBorder="1" applyAlignment="1">
      <alignment horizontal="center" vertical="center"/>
    </xf>
    <xf numFmtId="0" fontId="7"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14" xfId="0" applyFont="1" applyBorder="1" applyAlignment="1">
      <alignment horizontal="center" vertical="center"/>
    </xf>
    <xf numFmtId="0" fontId="12" fillId="0" borderId="60" xfId="0" applyFont="1" applyBorder="1" applyAlignment="1">
      <alignment horizontal="center" vertical="center"/>
    </xf>
    <xf numFmtId="0" fontId="12" fillId="0" borderId="12" xfId="0" applyFont="1" applyBorder="1" applyAlignment="1">
      <alignment horizontal="center" vertical="center"/>
    </xf>
    <xf numFmtId="0" fontId="12" fillId="0" borderId="15" xfId="0" applyFont="1" applyBorder="1" applyAlignment="1">
      <alignment horizontal="center" vertical="center"/>
    </xf>
    <xf numFmtId="0" fontId="12" fillId="0" borderId="11" xfId="0" applyFont="1" applyBorder="1" applyAlignment="1">
      <alignment horizontal="center" vertical="center"/>
    </xf>
    <xf numFmtId="0" fontId="7" fillId="0" borderId="34" xfId="0" applyFont="1" applyBorder="1" applyAlignment="1">
      <alignment horizontal="center" vertical="center"/>
    </xf>
    <xf numFmtId="0" fontId="2" fillId="0" borderId="12" xfId="0" applyFont="1" applyBorder="1" applyAlignment="1">
      <alignment horizontal="center" vertical="center"/>
    </xf>
    <xf numFmtId="0" fontId="2" fillId="0" borderId="15" xfId="0" applyFont="1" applyBorder="1" applyAlignment="1">
      <alignment horizontal="center" vertical="center"/>
    </xf>
    <xf numFmtId="0" fontId="2" fillId="0" borderId="11" xfId="0" applyFont="1" applyBorder="1" applyAlignment="1">
      <alignment horizontal="center" vertical="center"/>
    </xf>
    <xf numFmtId="0" fontId="7" fillId="0" borderId="1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55" xfId="0" applyFont="1" applyBorder="1" applyAlignment="1">
      <alignment horizontal="center" vertical="center"/>
    </xf>
    <xf numFmtId="0" fontId="3" fillId="0" borderId="54" xfId="0" applyFont="1" applyBorder="1" applyAlignment="1">
      <alignment horizontal="center" vertical="center"/>
    </xf>
    <xf numFmtId="0" fontId="3" fillId="0" borderId="51" xfId="0" applyFont="1" applyBorder="1" applyAlignment="1">
      <alignment horizontal="center" vertical="center"/>
    </xf>
    <xf numFmtId="0" fontId="3" fillId="0" borderId="52" xfId="0" applyFont="1" applyBorder="1" applyAlignment="1">
      <alignment horizontal="center" vertical="center"/>
    </xf>
    <xf numFmtId="0" fontId="5" fillId="0" borderId="28" xfId="0" applyFont="1" applyBorder="1" applyAlignment="1">
      <alignment horizontal="center" vertical="center"/>
    </xf>
    <xf numFmtId="0" fontId="5" fillId="0" borderId="33" xfId="0" applyFont="1" applyBorder="1" applyAlignment="1">
      <alignment horizontal="center" vertical="center"/>
    </xf>
    <xf numFmtId="0" fontId="5" fillId="0" borderId="25" xfId="0" applyFont="1" applyBorder="1" applyAlignment="1">
      <alignment horizontal="center" vertical="center"/>
    </xf>
    <xf numFmtId="0" fontId="5" fillId="0" borderId="21" xfId="0" applyFont="1" applyBorder="1" applyAlignment="1">
      <alignment horizontal="center" vertical="center"/>
    </xf>
    <xf numFmtId="0" fontId="5" fillId="0" borderId="41" xfId="0" applyFont="1" applyBorder="1" applyAlignment="1">
      <alignment horizontal="center" vertical="center"/>
    </xf>
    <xf numFmtId="0" fontId="5" fillId="0" borderId="62" xfId="0" applyFont="1" applyBorder="1" applyAlignment="1">
      <alignment horizontal="center" vertical="center"/>
    </xf>
    <xf numFmtId="0" fontId="5" fillId="0" borderId="58" xfId="0" applyFont="1" applyBorder="1" applyAlignment="1">
      <alignment horizontal="center" vertical="center"/>
    </xf>
    <xf numFmtId="0" fontId="7" fillId="0" borderId="31" xfId="0" applyFont="1" applyBorder="1" applyAlignment="1">
      <alignment horizontal="center" vertical="center"/>
    </xf>
    <xf numFmtId="0" fontId="7" fillId="0" borderId="61" xfId="0" applyFont="1" applyBorder="1" applyAlignment="1">
      <alignment horizontal="center" vertical="center"/>
    </xf>
    <xf numFmtId="0" fontId="7" fillId="0" borderId="57" xfId="0" applyFont="1" applyBorder="1" applyAlignment="1">
      <alignment horizontal="center" vertical="center"/>
    </xf>
    <xf numFmtId="0" fontId="7" fillId="0" borderId="19" xfId="0" applyFont="1" applyBorder="1" applyAlignment="1">
      <alignment horizontal="center" vertical="center"/>
    </xf>
    <xf numFmtId="0" fontId="3" fillId="0" borderId="0" xfId="0" applyFont="1" applyAlignment="1">
      <alignment horizontal="center" vertical="center"/>
    </xf>
    <xf numFmtId="0" fontId="13" fillId="2" borderId="0" xfId="0" applyFont="1" applyFill="1" applyAlignment="1" applyProtection="1">
      <alignment horizontal="center" vertical="center"/>
      <protection hidden="1"/>
    </xf>
    <xf numFmtId="0" fontId="0" fillId="2" borderId="0" xfId="0" applyFill="1" applyAlignment="1" applyProtection="1">
      <alignment horizontal="center"/>
      <protection hidden="1"/>
    </xf>
    <xf numFmtId="0" fontId="0" fillId="2" borderId="0" xfId="0" applyFill="1" applyAlignment="1" applyProtection="1">
      <alignment horizontal="left" vertical="center" wrapText="1"/>
      <protection hidden="1"/>
    </xf>
    <xf numFmtId="0" fontId="0" fillId="2" borderId="0" xfId="0" applyFill="1" applyAlignment="1" applyProtection="1">
      <alignment horizontal="center" vertical="center" wrapText="1"/>
      <protection hidden="1"/>
    </xf>
    <xf numFmtId="0" fontId="21" fillId="2" borderId="0" xfId="0" applyFont="1" applyFill="1" applyAlignment="1" applyProtection="1">
      <alignment horizontal="left" vertical="center" wrapText="1"/>
      <protection hidden="1"/>
    </xf>
    <xf numFmtId="0" fontId="0" fillId="2" borderId="0" xfId="0" applyFill="1" applyAlignment="1" applyProtection="1">
      <alignment horizontal="left" vertical="top" wrapText="1"/>
      <protection hidden="1"/>
    </xf>
    <xf numFmtId="0" fontId="0" fillId="2" borderId="0" xfId="0" applyFill="1" applyAlignment="1" applyProtection="1">
      <alignment horizontal="left"/>
      <protection hidden="1"/>
    </xf>
    <xf numFmtId="0" fontId="22" fillId="2" borderId="0" xfId="0" applyFont="1" applyFill="1" applyAlignment="1" applyProtection="1">
      <alignment horizontal="left" vertical="top" wrapText="1"/>
      <protection hidden="1"/>
    </xf>
    <xf numFmtId="0" fontId="22" fillId="2" borderId="0" xfId="0" applyFont="1" applyFill="1" applyAlignment="1" applyProtection="1">
      <alignment horizontal="left" vertical="center" wrapText="1"/>
      <protection hidden="1"/>
    </xf>
    <xf numFmtId="0" fontId="0" fillId="0" borderId="0" xfId="0" applyAlignment="1" applyProtection="1">
      <alignment horizontal="center" vertical="center" wrapText="1"/>
      <protection hidden="1"/>
    </xf>
    <xf numFmtId="0" fontId="20" fillId="2" borderId="0" xfId="0" applyFont="1" applyFill="1" applyAlignment="1" applyProtection="1">
      <alignment horizontal="left" vertical="top" wrapText="1"/>
      <protection hidden="1"/>
    </xf>
    <xf numFmtId="0" fontId="20" fillId="2" borderId="0" xfId="0" applyFont="1" applyFill="1" applyAlignment="1" applyProtection="1">
      <alignment horizontal="left"/>
      <protection hidden="1"/>
    </xf>
    <xf numFmtId="0" fontId="23" fillId="2" borderId="0" xfId="0" applyFont="1" applyFill="1" applyAlignment="1" applyProtection="1">
      <alignment horizontal="center" vertical="center" wrapText="1"/>
      <protection hidden="1"/>
    </xf>
    <xf numFmtId="0" fontId="5" fillId="2" borderId="30" xfId="0" applyFont="1" applyFill="1" applyBorder="1" applyAlignment="1" applyProtection="1">
      <alignment horizontal="center"/>
      <protection hidden="1"/>
    </xf>
    <xf numFmtId="0" fontId="5" fillId="2" borderId="32" xfId="0" applyFont="1" applyFill="1" applyBorder="1" applyAlignment="1" applyProtection="1">
      <alignment horizontal="center"/>
      <protection hidden="1"/>
    </xf>
    <xf numFmtId="0" fontId="5" fillId="2" borderId="37" xfId="0" applyFont="1" applyFill="1" applyBorder="1" applyAlignment="1" applyProtection="1">
      <alignment horizontal="center"/>
      <protection hidden="1"/>
    </xf>
    <xf numFmtId="0" fontId="5" fillId="2" borderId="29" xfId="0" applyFont="1" applyFill="1" applyBorder="1" applyAlignment="1" applyProtection="1">
      <alignment horizontal="center"/>
      <protection locked="0"/>
    </xf>
    <xf numFmtId="0" fontId="5" fillId="2" borderId="32" xfId="0" applyFont="1" applyFill="1" applyBorder="1" applyAlignment="1" applyProtection="1">
      <alignment horizontal="center"/>
      <protection locked="0"/>
    </xf>
    <xf numFmtId="0" fontId="5" fillId="2" borderId="37" xfId="0" applyFont="1" applyFill="1" applyBorder="1" applyAlignment="1" applyProtection="1">
      <alignment horizontal="center"/>
      <protection locked="0"/>
    </xf>
    <xf numFmtId="0" fontId="2" fillId="2" borderId="29" xfId="0" applyFont="1" applyFill="1" applyBorder="1" applyAlignment="1" applyProtection="1">
      <alignment horizontal="center"/>
      <protection locked="0"/>
    </xf>
    <xf numFmtId="0" fontId="2" fillId="2" borderId="32" xfId="0" applyFont="1" applyFill="1" applyBorder="1" applyAlignment="1" applyProtection="1">
      <alignment horizontal="center"/>
      <protection locked="0"/>
    </xf>
    <xf numFmtId="0" fontId="2" fillId="2" borderId="37" xfId="0" applyFont="1" applyFill="1" applyBorder="1" applyAlignment="1" applyProtection="1">
      <alignment horizontal="center"/>
      <protection locked="0"/>
    </xf>
    <xf numFmtId="164" fontId="2" fillId="2" borderId="29" xfId="0" applyNumberFormat="1" applyFont="1" applyFill="1" applyBorder="1" applyAlignment="1" applyProtection="1">
      <alignment horizontal="center"/>
      <protection locked="0"/>
    </xf>
    <xf numFmtId="164" fontId="2" fillId="2" borderId="32" xfId="0" applyNumberFormat="1" applyFont="1" applyFill="1" applyBorder="1" applyAlignment="1" applyProtection="1">
      <alignment horizontal="center"/>
      <protection locked="0"/>
    </xf>
    <xf numFmtId="164" fontId="2" fillId="2" borderId="37" xfId="0" applyNumberFormat="1" applyFont="1" applyFill="1" applyBorder="1" applyAlignment="1" applyProtection="1">
      <alignment horizontal="center"/>
      <protection locked="0"/>
    </xf>
  </cellXfs>
  <cellStyles count="2">
    <cellStyle name="Normal" xfId="0" builtinId="0"/>
    <cellStyle name="Percent" xfId="1" builtinId="5"/>
  </cellStyles>
  <dxfs count="7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0" formatCode="General"/>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0" formatCode="General"/>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22</xdr:col>
      <xdr:colOff>277091</xdr:colOff>
      <xdr:row>44</xdr:row>
      <xdr:rowOff>163656</xdr:rowOff>
    </xdr:from>
    <xdr:ext cx="1705840" cy="704004"/>
    <xdr:pic>
      <xdr:nvPicPr>
        <xdr:cNvPr id="3" name="Obrázok 2" descr="SLOVENSKÁ BASKETBALOVÁ ASOCIÁCIA">
          <a:extLst>
            <a:ext uri="{FF2B5EF4-FFF2-40B4-BE49-F238E27FC236}">
              <a16:creationId xmlns:a16="http://schemas.microsoft.com/office/drawing/2014/main" id="{E0F64CA0-0BD2-486F-80EF-BCA0146DD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6566" y="6535881"/>
          <a:ext cx="1705840" cy="7040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273628</xdr:colOff>
      <xdr:row>0</xdr:row>
      <xdr:rowOff>169717</xdr:rowOff>
    </xdr:from>
    <xdr:ext cx="1705840" cy="704004"/>
    <xdr:pic>
      <xdr:nvPicPr>
        <xdr:cNvPr id="4" name="Obrázok 3" descr="SLOVENSKÁ BASKETBALOVÁ ASOCIÁCIA">
          <a:extLst>
            <a:ext uri="{FF2B5EF4-FFF2-40B4-BE49-F238E27FC236}">
              <a16:creationId xmlns:a16="http://schemas.microsoft.com/office/drawing/2014/main" id="{E4DE02C6-F921-485C-97CB-D9243944B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4583" y="169717"/>
          <a:ext cx="1705840" cy="704004"/>
        </a:xfrm>
        <a:prstGeom prst="rect">
          <a:avLst/>
        </a:prstGeom>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22</xdr:col>
      <xdr:colOff>277091</xdr:colOff>
      <xdr:row>44</xdr:row>
      <xdr:rowOff>163656</xdr:rowOff>
    </xdr:from>
    <xdr:ext cx="1705840" cy="704004"/>
    <xdr:pic>
      <xdr:nvPicPr>
        <xdr:cNvPr id="2" name="Obrázok 1" descr="SLOVENSKÁ BASKETBALOVÁ ASOCIÁCIA">
          <a:extLst>
            <a:ext uri="{FF2B5EF4-FFF2-40B4-BE49-F238E27FC236}">
              <a16:creationId xmlns:a16="http://schemas.microsoft.com/office/drawing/2014/main" id="{F0840BB6-DD8B-4943-8DD8-37783790D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92266" y="7907481"/>
          <a:ext cx="1705840" cy="7040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273628</xdr:colOff>
      <xdr:row>0</xdr:row>
      <xdr:rowOff>169717</xdr:rowOff>
    </xdr:from>
    <xdr:ext cx="1705840" cy="704004"/>
    <xdr:pic>
      <xdr:nvPicPr>
        <xdr:cNvPr id="3" name="Obrázok 2" descr="SLOVENSKÁ BASKETBALOVÁ ASOCIÁCIA">
          <a:extLst>
            <a:ext uri="{FF2B5EF4-FFF2-40B4-BE49-F238E27FC236}">
              <a16:creationId xmlns:a16="http://schemas.microsoft.com/office/drawing/2014/main" id="{F1E38AEA-92EA-4321-BFF3-C34FE6C9C5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88803" y="169717"/>
          <a:ext cx="1705840" cy="704004"/>
        </a:xfrm>
        <a:prstGeom prst="rect">
          <a:avLst/>
        </a:prstGeom>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A106-D61E-4404-9099-D628143A8D3E}">
  <sheetPr codeName="Hárok1"/>
  <dimension ref="A1:AJ83"/>
  <sheetViews>
    <sheetView tabSelected="1" zoomScale="94" zoomScaleNormal="94" workbookViewId="0">
      <selection activeCell="AE18" sqref="AE18"/>
    </sheetView>
  </sheetViews>
  <sheetFormatPr defaultColWidth="9.1796875" defaultRowHeight="13" x14ac:dyDescent="0.35"/>
  <cols>
    <col min="1" max="1" width="2.453125" style="5" customWidth="1"/>
    <col min="2" max="2" width="5.81640625" style="5" customWidth="1"/>
    <col min="3" max="3" width="26.453125" style="5" customWidth="1"/>
    <col min="4" max="4" width="5.1796875" style="5" bestFit="1" customWidth="1"/>
    <col min="5" max="16" width="3.453125" style="5" customWidth="1"/>
    <col min="17" max="25" width="4.26953125" style="5" customWidth="1"/>
    <col min="26" max="26" width="7.453125" style="5" customWidth="1"/>
    <col min="27" max="27" width="13.7265625" style="5" customWidth="1"/>
    <col min="28" max="38" width="9.1796875" style="5" customWidth="1"/>
    <col min="39" max="16384" width="9.1796875" style="5"/>
  </cols>
  <sheetData>
    <row r="1" spans="1:36" ht="36.75" customHeight="1" x14ac:dyDescent="0.35">
      <c r="A1" s="3"/>
      <c r="B1" s="188" t="s">
        <v>21</v>
      </c>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4"/>
      <c r="AC1" s="4"/>
    </row>
    <row r="2" spans="1:36" ht="1.5" customHeight="1" thickBot="1" x14ac:dyDescent="0.4">
      <c r="A2" s="3"/>
      <c r="B2" s="3"/>
      <c r="C2" s="3"/>
      <c r="D2" s="3"/>
      <c r="E2" s="3"/>
      <c r="F2" s="3"/>
      <c r="G2" s="3"/>
      <c r="H2" s="3"/>
      <c r="I2" s="3"/>
      <c r="J2" s="3"/>
      <c r="K2" s="3"/>
      <c r="L2" s="3"/>
      <c r="M2" s="3"/>
      <c r="N2" s="3"/>
      <c r="O2" s="3"/>
      <c r="P2" s="3"/>
      <c r="Q2" s="3"/>
      <c r="R2" s="3"/>
      <c r="S2" s="3"/>
      <c r="T2" s="3"/>
      <c r="U2" s="3"/>
      <c r="V2" s="3"/>
      <c r="W2" s="3"/>
      <c r="X2" s="3"/>
      <c r="Y2" s="3"/>
      <c r="Z2" s="3"/>
      <c r="AA2" s="3"/>
    </row>
    <row r="3" spans="1:36" ht="13.5" thickBot="1" x14ac:dyDescent="0.4">
      <c r="A3" s="3"/>
      <c r="B3" s="167" t="s">
        <v>247</v>
      </c>
      <c r="C3" s="3"/>
      <c r="D3" s="189" t="s">
        <v>23</v>
      </c>
      <c r="E3" s="190"/>
      <c r="F3" s="190"/>
      <c r="G3" s="190"/>
      <c r="H3" s="190"/>
      <c r="I3" s="190"/>
      <c r="J3" s="190"/>
      <c r="K3" s="190"/>
      <c r="L3" s="191"/>
      <c r="M3" s="3" t="s">
        <v>22</v>
      </c>
      <c r="N3" s="189" t="s">
        <v>24</v>
      </c>
      <c r="O3" s="190"/>
      <c r="P3" s="190"/>
      <c r="Q3" s="190"/>
      <c r="R3" s="190"/>
      <c r="S3" s="190"/>
      <c r="T3" s="190"/>
      <c r="U3" s="191"/>
      <c r="V3" s="6"/>
      <c r="W3" s="3"/>
      <c r="X3" s="3"/>
      <c r="Y3" s="3"/>
      <c r="Z3" s="3"/>
      <c r="AA3" s="3"/>
    </row>
    <row r="4" spans="1:36" ht="13.5" thickBot="1" x14ac:dyDescent="0.4">
      <c r="A4" s="3"/>
      <c r="B4" s="3"/>
      <c r="C4" s="3"/>
      <c r="D4" s="192" t="s">
        <v>23</v>
      </c>
      <c r="E4" s="193"/>
      <c r="F4" s="193"/>
      <c r="G4" s="193"/>
      <c r="H4" s="193"/>
      <c r="I4" s="193"/>
      <c r="J4" s="193"/>
      <c r="K4" s="193"/>
      <c r="L4" s="194"/>
      <c r="M4" s="3" t="s">
        <v>22</v>
      </c>
      <c r="N4" s="192" t="s">
        <v>24</v>
      </c>
      <c r="O4" s="193"/>
      <c r="P4" s="193"/>
      <c r="Q4" s="193"/>
      <c r="R4" s="193"/>
      <c r="S4" s="193"/>
      <c r="T4" s="193"/>
      <c r="U4" s="194"/>
      <c r="V4" s="6"/>
      <c r="W4" s="3"/>
      <c r="X4" s="3"/>
      <c r="Y4" s="3"/>
      <c r="Z4" s="3"/>
      <c r="AA4" s="3"/>
    </row>
    <row r="5" spans="1:36" ht="13.5" thickBot="1" x14ac:dyDescent="0.4">
      <c r="A5" s="3"/>
      <c r="B5" s="3"/>
      <c r="C5" s="7" t="s">
        <v>30</v>
      </c>
      <c r="D5" s="192"/>
      <c r="E5" s="193"/>
      <c r="F5" s="193"/>
      <c r="G5" s="193"/>
      <c r="H5" s="193"/>
      <c r="I5" s="193"/>
      <c r="J5" s="193"/>
      <c r="K5" s="193"/>
      <c r="L5" s="194"/>
      <c r="M5" s="3" t="s">
        <v>22</v>
      </c>
      <c r="N5" s="192"/>
      <c r="O5" s="193"/>
      <c r="P5" s="193"/>
      <c r="Q5" s="193"/>
      <c r="R5" s="193"/>
      <c r="S5" s="193"/>
      <c r="T5" s="193"/>
      <c r="U5" s="194"/>
      <c r="V5" s="6"/>
      <c r="W5" s="3"/>
      <c r="X5" s="3"/>
      <c r="Y5" s="3"/>
      <c r="Z5" s="3"/>
      <c r="AA5" s="8"/>
    </row>
    <row r="6" spans="1:36" ht="7.5" customHeight="1" thickBot="1" x14ac:dyDescent="0.4">
      <c r="A6" s="3"/>
      <c r="B6" s="3"/>
      <c r="C6" s="3"/>
      <c r="D6" s="3"/>
      <c r="E6" s="3"/>
      <c r="F6" s="3"/>
      <c r="G6" s="3"/>
      <c r="H6" s="3"/>
      <c r="I6" s="3"/>
      <c r="J6" s="3"/>
      <c r="K6" s="3"/>
      <c r="L6" s="3"/>
      <c r="M6" s="3"/>
      <c r="N6" s="3"/>
      <c r="O6" s="3"/>
      <c r="P6" s="3"/>
      <c r="Q6" s="3"/>
      <c r="R6" s="3"/>
      <c r="S6" s="3"/>
      <c r="T6" s="3"/>
      <c r="U6" s="3"/>
      <c r="V6" s="3"/>
      <c r="W6" s="3"/>
      <c r="X6" s="3"/>
      <c r="Y6" s="3"/>
      <c r="Z6" s="3"/>
      <c r="AA6" s="8"/>
    </row>
    <row r="7" spans="1:36" ht="13.5" customHeight="1" x14ac:dyDescent="0.35">
      <c r="A7" s="3"/>
      <c r="B7" s="3"/>
      <c r="C7" s="198" t="s">
        <v>25</v>
      </c>
      <c r="D7" s="219"/>
      <c r="E7" s="222"/>
      <c r="F7" s="223"/>
      <c r="G7" s="223"/>
      <c r="H7" s="223"/>
      <c r="I7" s="223"/>
      <c r="J7" s="223"/>
      <c r="K7" s="223"/>
      <c r="L7" s="224"/>
      <c r="M7" s="3"/>
      <c r="N7" s="9"/>
      <c r="O7" s="9"/>
      <c r="P7" s="198" t="s">
        <v>31</v>
      </c>
      <c r="Q7" s="199"/>
      <c r="R7" s="199"/>
      <c r="S7" s="199"/>
      <c r="T7" s="199"/>
      <c r="U7" s="199"/>
      <c r="V7" s="199"/>
      <c r="W7" s="200"/>
      <c r="X7" s="108"/>
      <c r="Y7" s="10"/>
      <c r="Z7" s="3"/>
      <c r="AA7" s="11" t="str">
        <f>D4</f>
        <v>DOMÁCI</v>
      </c>
    </row>
    <row r="8" spans="1:36" ht="13.5" customHeight="1" x14ac:dyDescent="0.35">
      <c r="A8" s="3"/>
      <c r="B8" s="3"/>
      <c r="C8" s="201" t="s">
        <v>26</v>
      </c>
      <c r="D8" s="220"/>
      <c r="E8" s="207">
        <v>45901</v>
      </c>
      <c r="F8" s="208"/>
      <c r="G8" s="208"/>
      <c r="H8" s="208"/>
      <c r="I8" s="208"/>
      <c r="J8" s="208"/>
      <c r="K8" s="208"/>
      <c r="L8" s="209"/>
      <c r="M8" s="3"/>
      <c r="N8" s="9"/>
      <c r="O8" s="9"/>
      <c r="P8" s="201" t="s">
        <v>35</v>
      </c>
      <c r="Q8" s="202"/>
      <c r="R8" s="202"/>
      <c r="S8" s="202"/>
      <c r="T8" s="202"/>
      <c r="U8" s="202"/>
      <c r="V8" s="202"/>
      <c r="W8" s="203"/>
      <c r="X8" s="109"/>
      <c r="Y8" s="12"/>
      <c r="Z8" s="3"/>
      <c r="AA8" s="11" t="str">
        <f>N4</f>
        <v>HOSTIA</v>
      </c>
    </row>
    <row r="9" spans="1:36" ht="13.5" customHeight="1" x14ac:dyDescent="0.35">
      <c r="A9" s="3"/>
      <c r="B9" s="3"/>
      <c r="C9" s="201" t="s">
        <v>27</v>
      </c>
      <c r="D9" s="220"/>
      <c r="E9" s="210"/>
      <c r="F9" s="211"/>
      <c r="G9" s="211"/>
      <c r="H9" s="211"/>
      <c r="I9" s="211"/>
      <c r="J9" s="211"/>
      <c r="K9" s="211"/>
      <c r="L9" s="212"/>
      <c r="M9" s="3"/>
      <c r="N9" s="9"/>
      <c r="O9" s="9"/>
      <c r="P9" s="201" t="s">
        <v>34</v>
      </c>
      <c r="Q9" s="202"/>
      <c r="R9" s="202"/>
      <c r="S9" s="202"/>
      <c r="T9" s="202"/>
      <c r="U9" s="202"/>
      <c r="V9" s="202"/>
      <c r="W9" s="203"/>
      <c r="X9" s="109"/>
      <c r="Y9" s="12"/>
      <c r="Z9" s="3"/>
      <c r="AA9" s="165"/>
    </row>
    <row r="10" spans="1:36" ht="13.5" customHeight="1" x14ac:dyDescent="0.35">
      <c r="A10" s="3"/>
      <c r="B10" s="3"/>
      <c r="C10" s="201" t="s">
        <v>28</v>
      </c>
      <c r="D10" s="220"/>
      <c r="E10" s="213"/>
      <c r="F10" s="214"/>
      <c r="G10" s="214"/>
      <c r="H10" s="214"/>
      <c r="I10" s="214"/>
      <c r="J10" s="214"/>
      <c r="K10" s="214"/>
      <c r="L10" s="215"/>
      <c r="M10" s="3"/>
      <c r="N10" s="9"/>
      <c r="O10" s="9"/>
      <c r="P10" s="201" t="s">
        <v>33</v>
      </c>
      <c r="Q10" s="202"/>
      <c r="R10" s="202"/>
      <c r="S10" s="202"/>
      <c r="T10" s="202"/>
      <c r="U10" s="202"/>
      <c r="V10" s="202"/>
      <c r="W10" s="203"/>
      <c r="X10" s="109"/>
      <c r="Y10" s="12"/>
      <c r="Z10" s="3"/>
      <c r="AA10" s="165"/>
    </row>
    <row r="11" spans="1:36" ht="13.5" customHeight="1" thickBot="1" x14ac:dyDescent="0.4">
      <c r="A11" s="3"/>
      <c r="B11" s="3"/>
      <c r="C11" s="204" t="s">
        <v>29</v>
      </c>
      <c r="D11" s="221"/>
      <c r="E11" s="216"/>
      <c r="F11" s="217"/>
      <c r="G11" s="217"/>
      <c r="H11" s="217"/>
      <c r="I11" s="217"/>
      <c r="J11" s="217"/>
      <c r="K11" s="217"/>
      <c r="L11" s="218"/>
      <c r="M11" s="3"/>
      <c r="N11" s="9"/>
      <c r="O11" s="9"/>
      <c r="P11" s="204" t="s">
        <v>32</v>
      </c>
      <c r="Q11" s="205"/>
      <c r="R11" s="205"/>
      <c r="S11" s="205"/>
      <c r="T11" s="205"/>
      <c r="U11" s="205"/>
      <c r="V11" s="205"/>
      <c r="W11" s="206"/>
      <c r="X11" s="110"/>
      <c r="Y11" s="13"/>
      <c r="Z11" s="3"/>
      <c r="AA11" s="165"/>
    </row>
    <row r="12" spans="1:36" ht="7.5" customHeight="1" thickBot="1" x14ac:dyDescent="0.4">
      <c r="A12" s="3"/>
      <c r="B12" s="3"/>
      <c r="C12" s="3"/>
      <c r="D12" s="3"/>
      <c r="E12" s="3"/>
      <c r="F12" s="3"/>
      <c r="G12" s="3"/>
      <c r="H12" s="3"/>
      <c r="I12" s="3"/>
      <c r="J12" s="3"/>
      <c r="K12" s="3"/>
      <c r="L12" s="3"/>
      <c r="M12" s="3"/>
      <c r="N12" s="3"/>
      <c r="O12" s="3"/>
      <c r="P12" s="3"/>
      <c r="Q12" s="3"/>
      <c r="R12" s="3"/>
      <c r="S12" s="3"/>
      <c r="T12" s="3"/>
      <c r="U12" s="3"/>
      <c r="V12" s="3"/>
      <c r="W12" s="3"/>
      <c r="X12" s="3"/>
      <c r="Y12" s="3"/>
      <c r="Z12" s="3"/>
      <c r="AA12" s="165"/>
    </row>
    <row r="13" spans="1:36" ht="15" customHeight="1" thickBot="1" x14ac:dyDescent="0.4">
      <c r="A13" s="3"/>
      <c r="B13" s="175" t="s">
        <v>10</v>
      </c>
      <c r="C13" s="178" t="s">
        <v>9</v>
      </c>
      <c r="D13" s="178" t="s">
        <v>1</v>
      </c>
      <c r="E13" s="195" t="s">
        <v>0</v>
      </c>
      <c r="F13" s="196"/>
      <c r="G13" s="196"/>
      <c r="H13" s="196"/>
      <c r="I13" s="196"/>
      <c r="J13" s="196"/>
      <c r="K13" s="196"/>
      <c r="L13" s="196"/>
      <c r="M13" s="196"/>
      <c r="N13" s="196"/>
      <c r="O13" s="196"/>
      <c r="P13" s="197"/>
      <c r="Q13" s="184" t="s">
        <v>11</v>
      </c>
      <c r="R13" s="184" t="s">
        <v>12</v>
      </c>
      <c r="S13" s="184" t="s">
        <v>13</v>
      </c>
      <c r="T13" s="184" t="s">
        <v>14</v>
      </c>
      <c r="U13" s="184" t="s">
        <v>15</v>
      </c>
      <c r="V13" s="184" t="s">
        <v>16</v>
      </c>
      <c r="W13" s="184" t="s">
        <v>17</v>
      </c>
      <c r="X13" s="184" t="s">
        <v>18</v>
      </c>
      <c r="Y13" s="184" t="s">
        <v>19</v>
      </c>
      <c r="Z13" s="184" t="s">
        <v>20</v>
      </c>
      <c r="AA13" s="187"/>
    </row>
    <row r="14" spans="1:36" ht="15" customHeight="1" x14ac:dyDescent="0.35">
      <c r="A14" s="3"/>
      <c r="B14" s="176"/>
      <c r="C14" s="179"/>
      <c r="D14" s="179"/>
      <c r="E14" s="181" t="s">
        <v>2</v>
      </c>
      <c r="F14" s="182"/>
      <c r="G14" s="183"/>
      <c r="H14" s="181" t="s">
        <v>3</v>
      </c>
      <c r="I14" s="182"/>
      <c r="J14" s="183"/>
      <c r="K14" s="181" t="s">
        <v>4</v>
      </c>
      <c r="L14" s="182"/>
      <c r="M14" s="183"/>
      <c r="N14" s="181" t="s">
        <v>5</v>
      </c>
      <c r="O14" s="182"/>
      <c r="P14" s="183"/>
      <c r="Q14" s="185"/>
      <c r="R14" s="185"/>
      <c r="S14" s="185"/>
      <c r="T14" s="185"/>
      <c r="U14" s="185"/>
      <c r="V14" s="185"/>
      <c r="W14" s="185"/>
      <c r="X14" s="185"/>
      <c r="Y14" s="185"/>
      <c r="Z14" s="185"/>
      <c r="AA14" s="187"/>
    </row>
    <row r="15" spans="1:36" ht="15" customHeight="1" thickBot="1" x14ac:dyDescent="0.5">
      <c r="A15" s="3"/>
      <c r="B15" s="177"/>
      <c r="C15" s="180"/>
      <c r="D15" s="180"/>
      <c r="E15" s="14" t="s">
        <v>6</v>
      </c>
      <c r="F15" s="15" t="s">
        <v>7</v>
      </c>
      <c r="G15" s="16" t="s">
        <v>8</v>
      </c>
      <c r="H15" s="14" t="s">
        <v>6</v>
      </c>
      <c r="I15" s="15" t="s">
        <v>7</v>
      </c>
      <c r="J15" s="16" t="s">
        <v>8</v>
      </c>
      <c r="K15" s="14" t="s">
        <v>6</v>
      </c>
      <c r="L15" s="15" t="s">
        <v>7</v>
      </c>
      <c r="M15" s="16" t="s">
        <v>8</v>
      </c>
      <c r="N15" s="14" t="s">
        <v>6</v>
      </c>
      <c r="O15" s="15" t="s">
        <v>7</v>
      </c>
      <c r="P15" s="16" t="s">
        <v>8</v>
      </c>
      <c r="Q15" s="186"/>
      <c r="R15" s="186"/>
      <c r="S15" s="186"/>
      <c r="T15" s="186"/>
      <c r="U15" s="186"/>
      <c r="V15" s="186"/>
      <c r="W15" s="186"/>
      <c r="X15" s="186"/>
      <c r="Y15" s="186"/>
      <c r="Z15" s="186"/>
      <c r="AA15" s="187"/>
      <c r="AE15" s="114"/>
      <c r="AG15" s="17"/>
    </row>
    <row r="16" spans="1:36" ht="14.5" x14ac:dyDescent="0.35">
      <c r="A16" s="3"/>
      <c r="B16" s="111"/>
      <c r="C16" s="18"/>
      <c r="D16" s="19"/>
      <c r="E16" s="20"/>
      <c r="F16" s="21"/>
      <c r="G16" s="143">
        <f>IFERROR((E16/F16*100),0)</f>
        <v>0</v>
      </c>
      <c r="H16" s="20"/>
      <c r="I16" s="21"/>
      <c r="J16" s="143">
        <f>IFERROR((H16/I16*100),0)</f>
        <v>0</v>
      </c>
      <c r="K16" s="22">
        <f>E16+H16</f>
        <v>0</v>
      </c>
      <c r="L16" s="23">
        <f>F16+I16</f>
        <v>0</v>
      </c>
      <c r="M16" s="143">
        <f>IFERROR((K16/L16*100),0)</f>
        <v>0</v>
      </c>
      <c r="N16" s="20"/>
      <c r="O16" s="21"/>
      <c r="P16" s="146">
        <f>IFERROR((N16/O16*100),0)</f>
        <v>0</v>
      </c>
      <c r="Q16" s="24">
        <f>(E16*2)+(H16*3)+(N16*1)</f>
        <v>0</v>
      </c>
      <c r="R16" s="20"/>
      <c r="S16" s="21"/>
      <c r="T16" s="21"/>
      <c r="U16" s="21"/>
      <c r="V16" s="21"/>
      <c r="W16" s="21"/>
      <c r="X16" s="21"/>
      <c r="Y16" s="25"/>
      <c r="Z16" s="104">
        <f>(Q16+R16+S16+T16+V16+W16)-((L16-K16)+(O16-N16)+U16)</f>
        <v>0</v>
      </c>
      <c r="AA16" s="139"/>
      <c r="AG16" s="17"/>
      <c r="AH16"/>
      <c r="AI16"/>
      <c r="AJ16"/>
    </row>
    <row r="17" spans="1:36" ht="14.5" x14ac:dyDescent="0.35">
      <c r="A17" s="3"/>
      <c r="B17" s="112"/>
      <c r="C17" s="26"/>
      <c r="D17" s="27"/>
      <c r="E17" s="28"/>
      <c r="F17" s="29"/>
      <c r="G17" s="144">
        <f t="shared" ref="G17:G35" si="0">IFERROR((E17/F17*100),0)</f>
        <v>0</v>
      </c>
      <c r="H17" s="28"/>
      <c r="I17" s="29"/>
      <c r="J17" s="144">
        <f t="shared" ref="J17:J37" si="1">IFERROR((H17/I17*100),0)</f>
        <v>0</v>
      </c>
      <c r="K17" s="30">
        <f>E17+H17</f>
        <v>0</v>
      </c>
      <c r="L17" s="31">
        <f t="shared" ref="L17:L35" si="2">F17+I17</f>
        <v>0</v>
      </c>
      <c r="M17" s="144">
        <f t="shared" ref="M17:M35" si="3">IFERROR((K17/L17*100),0)</f>
        <v>0</v>
      </c>
      <c r="N17" s="28"/>
      <c r="O17" s="29"/>
      <c r="P17" s="147">
        <f t="shared" ref="P17:P35" si="4">IFERROR((N17/O17*100),0)</f>
        <v>0</v>
      </c>
      <c r="Q17" s="32">
        <f t="shared" ref="Q17:Q35" si="5">(E17*2)+(H17*3)+(N17*1)</f>
        <v>0</v>
      </c>
      <c r="R17" s="28"/>
      <c r="S17" s="29"/>
      <c r="T17" s="29"/>
      <c r="U17" s="29"/>
      <c r="V17" s="29"/>
      <c r="W17" s="29"/>
      <c r="X17" s="29"/>
      <c r="Y17" s="33"/>
      <c r="Z17" s="102">
        <f t="shared" ref="Z17:Z35" si="6">(Q17+R17+S17+T17+V17+W17)-((L17-K17)+(O17-N17)+U17)</f>
        <v>0</v>
      </c>
      <c r="AA17" s="139" t="s">
        <v>243</v>
      </c>
      <c r="AG17" s="17"/>
      <c r="AH17"/>
      <c r="AI17"/>
      <c r="AJ17"/>
    </row>
    <row r="18" spans="1:36" ht="14.5" x14ac:dyDescent="0.35">
      <c r="A18" s="3"/>
      <c r="B18" s="112"/>
      <c r="C18" s="26"/>
      <c r="D18" s="27"/>
      <c r="E18" s="28"/>
      <c r="F18" s="29"/>
      <c r="G18" s="144">
        <f t="shared" si="0"/>
        <v>0</v>
      </c>
      <c r="H18" s="28"/>
      <c r="I18" s="29"/>
      <c r="J18" s="144">
        <f t="shared" si="1"/>
        <v>0</v>
      </c>
      <c r="K18" s="30">
        <f t="shared" ref="K18:K19" si="7">E18+H18</f>
        <v>0</v>
      </c>
      <c r="L18" s="31">
        <f t="shared" si="2"/>
        <v>0</v>
      </c>
      <c r="M18" s="144">
        <f t="shared" si="3"/>
        <v>0</v>
      </c>
      <c r="N18" s="28"/>
      <c r="O18" s="29"/>
      <c r="P18" s="147">
        <f t="shared" si="4"/>
        <v>0</v>
      </c>
      <c r="Q18" s="32">
        <f t="shared" si="5"/>
        <v>0</v>
      </c>
      <c r="R18" s="28"/>
      <c r="S18" s="29"/>
      <c r="T18" s="29"/>
      <c r="U18" s="29"/>
      <c r="V18" s="29"/>
      <c r="W18" s="29"/>
      <c r="X18" s="29"/>
      <c r="Y18" s="33"/>
      <c r="Z18" s="102">
        <f>(Q18+R18+S18+T18+V18+W18)-((L18-K18)+(O18-N18)+U18)</f>
        <v>0</v>
      </c>
      <c r="AA18" s="139" t="s">
        <v>242</v>
      </c>
      <c r="AG18" s="17"/>
      <c r="AH18"/>
      <c r="AI18"/>
      <c r="AJ18"/>
    </row>
    <row r="19" spans="1:36" ht="14.5" x14ac:dyDescent="0.35">
      <c r="A19" s="3"/>
      <c r="B19" s="112"/>
      <c r="C19" s="26"/>
      <c r="D19" s="27"/>
      <c r="E19" s="28"/>
      <c r="F19" s="29"/>
      <c r="G19" s="144">
        <f t="shared" si="0"/>
        <v>0</v>
      </c>
      <c r="H19" s="28"/>
      <c r="I19" s="29"/>
      <c r="J19" s="144">
        <f t="shared" si="1"/>
        <v>0</v>
      </c>
      <c r="K19" s="30">
        <f t="shared" si="7"/>
        <v>0</v>
      </c>
      <c r="L19" s="31">
        <f t="shared" si="2"/>
        <v>0</v>
      </c>
      <c r="M19" s="144">
        <f t="shared" si="3"/>
        <v>0</v>
      </c>
      <c r="N19" s="28"/>
      <c r="O19" s="29"/>
      <c r="P19" s="147">
        <f t="shared" si="4"/>
        <v>0</v>
      </c>
      <c r="Q19" s="32">
        <f>(E19*2)+(H19*3)+(N19*1)</f>
        <v>0</v>
      </c>
      <c r="R19" s="28"/>
      <c r="S19" s="29"/>
      <c r="T19" s="29"/>
      <c r="U19" s="29"/>
      <c r="V19" s="29"/>
      <c r="W19" s="29"/>
      <c r="X19" s="29"/>
      <c r="Y19" s="33"/>
      <c r="Z19" s="102">
        <f t="shared" si="6"/>
        <v>0</v>
      </c>
      <c r="AA19" s="139" t="s">
        <v>100</v>
      </c>
      <c r="AG19" s="17"/>
      <c r="AH19"/>
      <c r="AI19"/>
      <c r="AJ19"/>
    </row>
    <row r="20" spans="1:36" ht="15" thickBot="1" x14ac:dyDescent="0.4">
      <c r="A20" s="3"/>
      <c r="B20" s="113"/>
      <c r="C20" s="34"/>
      <c r="D20" s="35"/>
      <c r="E20" s="36"/>
      <c r="F20" s="37"/>
      <c r="G20" s="145">
        <f t="shared" si="0"/>
        <v>0</v>
      </c>
      <c r="H20" s="36"/>
      <c r="I20" s="37"/>
      <c r="J20" s="145">
        <f t="shared" si="1"/>
        <v>0</v>
      </c>
      <c r="K20" s="38">
        <f>E20+H20</f>
        <v>0</v>
      </c>
      <c r="L20" s="39">
        <f t="shared" si="2"/>
        <v>0</v>
      </c>
      <c r="M20" s="145">
        <f t="shared" si="3"/>
        <v>0</v>
      </c>
      <c r="N20" s="36"/>
      <c r="O20" s="37"/>
      <c r="P20" s="148">
        <f t="shared" si="4"/>
        <v>0</v>
      </c>
      <c r="Q20" s="40">
        <f t="shared" si="5"/>
        <v>0</v>
      </c>
      <c r="R20" s="36"/>
      <c r="S20" s="37"/>
      <c r="T20" s="37"/>
      <c r="U20" s="37"/>
      <c r="V20" s="37"/>
      <c r="W20" s="37"/>
      <c r="X20" s="37"/>
      <c r="Y20" s="41"/>
      <c r="Z20" s="103">
        <f t="shared" si="6"/>
        <v>0</v>
      </c>
      <c r="AA20" s="139" t="s">
        <v>101</v>
      </c>
      <c r="AG20" s="17"/>
      <c r="AH20"/>
      <c r="AI20"/>
      <c r="AJ20"/>
    </row>
    <row r="21" spans="1:36" ht="14.5" x14ac:dyDescent="0.35">
      <c r="A21" s="3"/>
      <c r="B21" s="112"/>
      <c r="C21" s="42"/>
      <c r="D21" s="19"/>
      <c r="E21" s="20"/>
      <c r="F21" s="21"/>
      <c r="G21" s="143">
        <f t="shared" si="0"/>
        <v>0</v>
      </c>
      <c r="H21" s="20"/>
      <c r="I21" s="21"/>
      <c r="J21" s="143">
        <f t="shared" si="1"/>
        <v>0</v>
      </c>
      <c r="K21" s="22">
        <f>E21+H21</f>
        <v>0</v>
      </c>
      <c r="L21" s="23">
        <f t="shared" si="2"/>
        <v>0</v>
      </c>
      <c r="M21" s="143">
        <f t="shared" si="3"/>
        <v>0</v>
      </c>
      <c r="N21" s="116"/>
      <c r="O21" s="117"/>
      <c r="P21" s="149">
        <f t="shared" si="4"/>
        <v>0</v>
      </c>
      <c r="Q21" s="118">
        <f t="shared" si="5"/>
        <v>0</v>
      </c>
      <c r="R21" s="116"/>
      <c r="S21" s="117"/>
      <c r="T21" s="117"/>
      <c r="U21" s="117"/>
      <c r="V21" s="117"/>
      <c r="W21" s="117"/>
      <c r="X21" s="117"/>
      <c r="Y21" s="119"/>
      <c r="Z21" s="101">
        <f t="shared" si="6"/>
        <v>0</v>
      </c>
      <c r="AA21" s="139" t="s">
        <v>120</v>
      </c>
      <c r="AG21" s="17"/>
      <c r="AH21"/>
      <c r="AI21"/>
      <c r="AJ21"/>
    </row>
    <row r="22" spans="1:36" ht="14.5" x14ac:dyDescent="0.35">
      <c r="A22" s="3"/>
      <c r="B22" s="112"/>
      <c r="C22" s="42"/>
      <c r="D22" s="155"/>
      <c r="E22" s="116"/>
      <c r="F22" s="117"/>
      <c r="G22" s="144">
        <f t="shared" si="0"/>
        <v>0</v>
      </c>
      <c r="H22" s="116"/>
      <c r="I22" s="117"/>
      <c r="J22" s="144">
        <f t="shared" si="1"/>
        <v>0</v>
      </c>
      <c r="K22" s="30">
        <f t="shared" ref="K22:K26" si="8">E22+H22</f>
        <v>0</v>
      </c>
      <c r="L22" s="31">
        <f t="shared" ref="L22:L26" si="9">F22+I22</f>
        <v>0</v>
      </c>
      <c r="M22" s="144">
        <f t="shared" ref="M22:M26" si="10">IFERROR((K22/L22*100),0)</f>
        <v>0</v>
      </c>
      <c r="N22" s="28"/>
      <c r="O22" s="29"/>
      <c r="P22" s="147">
        <f t="shared" ref="P22:P26" si="11">IFERROR((N22/O22*100),0)</f>
        <v>0</v>
      </c>
      <c r="Q22" s="32">
        <f t="shared" ref="Q22:Q26" si="12">(E22*2)+(H22*3)+(N22*1)</f>
        <v>0</v>
      </c>
      <c r="R22" s="116"/>
      <c r="S22" s="117"/>
      <c r="T22" s="117"/>
      <c r="U22" s="117"/>
      <c r="V22" s="117"/>
      <c r="W22" s="117"/>
      <c r="X22" s="117"/>
      <c r="Y22" s="119"/>
      <c r="Z22" s="102">
        <f t="shared" si="6"/>
        <v>0</v>
      </c>
      <c r="AA22" s="139" t="s">
        <v>244</v>
      </c>
      <c r="AG22" s="17"/>
      <c r="AH22"/>
      <c r="AI22"/>
      <c r="AJ22"/>
    </row>
    <row r="23" spans="1:36" ht="14.5" x14ac:dyDescent="0.35">
      <c r="A23" s="3"/>
      <c r="B23" s="112"/>
      <c r="C23" s="42"/>
      <c r="D23" s="155"/>
      <c r="E23" s="116"/>
      <c r="F23" s="117"/>
      <c r="G23" s="144">
        <f t="shared" si="0"/>
        <v>0</v>
      </c>
      <c r="H23" s="116"/>
      <c r="I23" s="117"/>
      <c r="J23" s="144">
        <f t="shared" si="1"/>
        <v>0</v>
      </c>
      <c r="K23" s="30">
        <f t="shared" si="8"/>
        <v>0</v>
      </c>
      <c r="L23" s="31">
        <f t="shared" si="9"/>
        <v>0</v>
      </c>
      <c r="M23" s="144">
        <f t="shared" si="10"/>
        <v>0</v>
      </c>
      <c r="N23" s="28"/>
      <c r="O23" s="29"/>
      <c r="P23" s="147">
        <f t="shared" si="11"/>
        <v>0</v>
      </c>
      <c r="Q23" s="32">
        <f t="shared" si="12"/>
        <v>0</v>
      </c>
      <c r="R23" s="116"/>
      <c r="S23" s="117"/>
      <c r="T23" s="117"/>
      <c r="U23" s="117"/>
      <c r="V23" s="117"/>
      <c r="W23" s="117"/>
      <c r="X23" s="117"/>
      <c r="Y23" s="119"/>
      <c r="Z23" s="102">
        <f t="shared" si="6"/>
        <v>0</v>
      </c>
      <c r="AA23" s="139"/>
      <c r="AG23" s="17"/>
      <c r="AH23"/>
      <c r="AI23"/>
      <c r="AJ23"/>
    </row>
    <row r="24" spans="1:36" ht="14.5" x14ac:dyDescent="0.35">
      <c r="A24" s="3"/>
      <c r="B24" s="112"/>
      <c r="C24" s="42"/>
      <c r="D24" s="155"/>
      <c r="E24" s="116"/>
      <c r="F24" s="117"/>
      <c r="G24" s="144">
        <f t="shared" si="0"/>
        <v>0</v>
      </c>
      <c r="H24" s="116"/>
      <c r="I24" s="117"/>
      <c r="J24" s="144">
        <f t="shared" si="1"/>
        <v>0</v>
      </c>
      <c r="K24" s="30">
        <f t="shared" si="8"/>
        <v>0</v>
      </c>
      <c r="L24" s="31">
        <f t="shared" si="9"/>
        <v>0</v>
      </c>
      <c r="M24" s="144">
        <f t="shared" si="10"/>
        <v>0</v>
      </c>
      <c r="N24" s="28"/>
      <c r="O24" s="29"/>
      <c r="P24" s="147">
        <f t="shared" si="11"/>
        <v>0</v>
      </c>
      <c r="Q24" s="32">
        <f t="shared" si="12"/>
        <v>0</v>
      </c>
      <c r="R24" s="116"/>
      <c r="S24" s="117"/>
      <c r="T24" s="117"/>
      <c r="U24" s="117"/>
      <c r="V24" s="117"/>
      <c r="W24" s="117"/>
      <c r="X24" s="117"/>
      <c r="Y24" s="119"/>
      <c r="Z24" s="102">
        <f t="shared" si="6"/>
        <v>0</v>
      </c>
      <c r="AA24" s="139"/>
      <c r="AG24" s="17"/>
      <c r="AH24"/>
      <c r="AI24"/>
      <c r="AJ24"/>
    </row>
    <row r="25" spans="1:36" ht="14.5" x14ac:dyDescent="0.35">
      <c r="A25" s="3"/>
      <c r="B25" s="112"/>
      <c r="C25" s="42"/>
      <c r="D25" s="155"/>
      <c r="E25" s="116"/>
      <c r="F25" s="117"/>
      <c r="G25" s="144">
        <f t="shared" si="0"/>
        <v>0</v>
      </c>
      <c r="H25" s="116"/>
      <c r="I25" s="117"/>
      <c r="J25" s="144">
        <f t="shared" si="1"/>
        <v>0</v>
      </c>
      <c r="K25" s="30">
        <f t="shared" si="8"/>
        <v>0</v>
      </c>
      <c r="L25" s="31">
        <f t="shared" si="9"/>
        <v>0</v>
      </c>
      <c r="M25" s="144">
        <f t="shared" si="10"/>
        <v>0</v>
      </c>
      <c r="N25" s="28"/>
      <c r="O25" s="29"/>
      <c r="P25" s="147">
        <f t="shared" si="11"/>
        <v>0</v>
      </c>
      <c r="Q25" s="32">
        <f t="shared" si="12"/>
        <v>0</v>
      </c>
      <c r="R25" s="116"/>
      <c r="S25" s="117"/>
      <c r="T25" s="117"/>
      <c r="U25" s="117"/>
      <c r="V25" s="117"/>
      <c r="W25" s="117"/>
      <c r="X25" s="117"/>
      <c r="Y25" s="119"/>
      <c r="Z25" s="102">
        <f t="shared" si="6"/>
        <v>0</v>
      </c>
      <c r="AA25" s="139"/>
      <c r="AG25" s="17"/>
      <c r="AH25"/>
      <c r="AI25"/>
      <c r="AJ25"/>
    </row>
    <row r="26" spans="1:36" ht="14.5" x14ac:dyDescent="0.35">
      <c r="A26" s="3"/>
      <c r="B26" s="112"/>
      <c r="C26" s="42"/>
      <c r="D26" s="155"/>
      <c r="E26" s="116"/>
      <c r="F26" s="117"/>
      <c r="G26" s="144">
        <f t="shared" si="0"/>
        <v>0</v>
      </c>
      <c r="H26" s="116"/>
      <c r="I26" s="117"/>
      <c r="J26" s="144">
        <f t="shared" si="1"/>
        <v>0</v>
      </c>
      <c r="K26" s="30">
        <f t="shared" si="8"/>
        <v>0</v>
      </c>
      <c r="L26" s="31">
        <f t="shared" si="9"/>
        <v>0</v>
      </c>
      <c r="M26" s="144">
        <f t="shared" si="10"/>
        <v>0</v>
      </c>
      <c r="N26" s="28"/>
      <c r="O26" s="29"/>
      <c r="P26" s="147">
        <f t="shared" si="11"/>
        <v>0</v>
      </c>
      <c r="Q26" s="32">
        <f t="shared" si="12"/>
        <v>0</v>
      </c>
      <c r="R26" s="116"/>
      <c r="S26" s="117"/>
      <c r="T26" s="117"/>
      <c r="U26" s="117"/>
      <c r="V26" s="117"/>
      <c r="W26" s="117"/>
      <c r="X26" s="117"/>
      <c r="Y26" s="119"/>
      <c r="Z26" s="102">
        <f t="shared" si="6"/>
        <v>0</v>
      </c>
      <c r="AA26" s="139" t="s">
        <v>238</v>
      </c>
      <c r="AG26" s="17"/>
      <c r="AH26"/>
      <c r="AI26"/>
      <c r="AJ26"/>
    </row>
    <row r="27" spans="1:36" ht="14.5" x14ac:dyDescent="0.35">
      <c r="A27" s="3"/>
      <c r="B27" s="112"/>
      <c r="C27" s="26"/>
      <c r="D27" s="27"/>
      <c r="E27" s="28"/>
      <c r="F27" s="29"/>
      <c r="G27" s="144">
        <f t="shared" si="0"/>
        <v>0</v>
      </c>
      <c r="H27" s="28"/>
      <c r="I27" s="29"/>
      <c r="J27" s="144">
        <f t="shared" si="1"/>
        <v>0</v>
      </c>
      <c r="K27" s="30">
        <f>E27+H27</f>
        <v>0</v>
      </c>
      <c r="L27" s="31">
        <f t="shared" si="2"/>
        <v>0</v>
      </c>
      <c r="M27" s="144">
        <f t="shared" si="3"/>
        <v>0</v>
      </c>
      <c r="N27" s="28"/>
      <c r="O27" s="29"/>
      <c r="P27" s="147">
        <f t="shared" si="4"/>
        <v>0</v>
      </c>
      <c r="Q27" s="32">
        <f t="shared" si="5"/>
        <v>0</v>
      </c>
      <c r="R27" s="28"/>
      <c r="S27" s="29"/>
      <c r="T27" s="29"/>
      <c r="U27" s="29"/>
      <c r="V27" s="29"/>
      <c r="W27" s="29"/>
      <c r="X27" s="29"/>
      <c r="Y27" s="33"/>
      <c r="Z27" s="102">
        <f>(Q27+R27+S27+T27+V27+W27)-((L27-K27)+(O27-N27)+U27)</f>
        <v>0</v>
      </c>
      <c r="AA27" s="139"/>
      <c r="AH27"/>
      <c r="AI27"/>
      <c r="AJ27"/>
    </row>
    <row r="28" spans="1:36" ht="14.5" x14ac:dyDescent="0.35">
      <c r="A28" s="3"/>
      <c r="B28" s="112"/>
      <c r="C28" s="26"/>
      <c r="D28" s="27"/>
      <c r="E28" s="28"/>
      <c r="F28" s="29"/>
      <c r="G28" s="144">
        <f t="shared" si="0"/>
        <v>0</v>
      </c>
      <c r="H28" s="28"/>
      <c r="I28" s="29"/>
      <c r="J28" s="144">
        <f t="shared" si="1"/>
        <v>0</v>
      </c>
      <c r="K28" s="30">
        <f t="shared" ref="K28:K34" si="13">E28+H28</f>
        <v>0</v>
      </c>
      <c r="L28" s="31">
        <f t="shared" si="2"/>
        <v>0</v>
      </c>
      <c r="M28" s="144">
        <f t="shared" si="3"/>
        <v>0</v>
      </c>
      <c r="N28" s="28"/>
      <c r="O28" s="29"/>
      <c r="P28" s="147">
        <f t="shared" si="4"/>
        <v>0</v>
      </c>
      <c r="Q28" s="32">
        <f t="shared" si="5"/>
        <v>0</v>
      </c>
      <c r="R28" s="28"/>
      <c r="S28" s="29"/>
      <c r="T28" s="29"/>
      <c r="U28" s="29"/>
      <c r="V28" s="29"/>
      <c r="W28" s="29"/>
      <c r="X28" s="29"/>
      <c r="Y28" s="33"/>
      <c r="Z28" s="102">
        <f>(Q28+R28+S28+T28+V28+W28)-((L28-K28)+(O28-N28)+U28)</f>
        <v>0</v>
      </c>
      <c r="AA28" s="139" t="s">
        <v>245</v>
      </c>
      <c r="AH28"/>
      <c r="AI28"/>
      <c r="AJ28"/>
    </row>
    <row r="29" spans="1:36" ht="14.5" x14ac:dyDescent="0.35">
      <c r="A29" s="3"/>
      <c r="B29" s="112"/>
      <c r="C29" s="26"/>
      <c r="D29" s="27"/>
      <c r="E29" s="28"/>
      <c r="F29" s="29"/>
      <c r="G29" s="144">
        <f t="shared" si="0"/>
        <v>0</v>
      </c>
      <c r="H29" s="28"/>
      <c r="I29" s="29"/>
      <c r="J29" s="144">
        <f t="shared" si="1"/>
        <v>0</v>
      </c>
      <c r="K29" s="30">
        <f t="shared" si="13"/>
        <v>0</v>
      </c>
      <c r="L29" s="31">
        <f t="shared" si="2"/>
        <v>0</v>
      </c>
      <c r="M29" s="144">
        <f t="shared" si="3"/>
        <v>0</v>
      </c>
      <c r="N29" s="28"/>
      <c r="O29" s="29"/>
      <c r="P29" s="147">
        <f t="shared" si="4"/>
        <v>0</v>
      </c>
      <c r="Q29" s="32">
        <f t="shared" si="5"/>
        <v>0</v>
      </c>
      <c r="R29" s="28"/>
      <c r="S29" s="29"/>
      <c r="T29" s="29"/>
      <c r="U29" s="29"/>
      <c r="V29" s="29"/>
      <c r="W29" s="29"/>
      <c r="X29" s="29"/>
      <c r="Y29" s="33"/>
      <c r="Z29" s="102">
        <f>(Q29+R29+S29+T29+V29+W29)-((L29-K29)+(O29-N29)+U29)</f>
        <v>0</v>
      </c>
      <c r="AA29" s="139" t="s">
        <v>104</v>
      </c>
      <c r="AH29"/>
      <c r="AI29"/>
      <c r="AJ29"/>
    </row>
    <row r="30" spans="1:36" ht="14.5" x14ac:dyDescent="0.35">
      <c r="A30" s="3"/>
      <c r="B30" s="112"/>
      <c r="C30" s="26"/>
      <c r="D30" s="27"/>
      <c r="E30" s="28"/>
      <c r="F30" s="29"/>
      <c r="G30" s="144">
        <f t="shared" si="0"/>
        <v>0</v>
      </c>
      <c r="H30" s="28"/>
      <c r="I30" s="29"/>
      <c r="J30" s="144">
        <f t="shared" si="1"/>
        <v>0</v>
      </c>
      <c r="K30" s="30">
        <f t="shared" si="13"/>
        <v>0</v>
      </c>
      <c r="L30" s="31">
        <f t="shared" si="2"/>
        <v>0</v>
      </c>
      <c r="M30" s="144">
        <f t="shared" si="3"/>
        <v>0</v>
      </c>
      <c r="N30" s="28"/>
      <c r="O30" s="29"/>
      <c r="P30" s="147">
        <f t="shared" si="4"/>
        <v>0</v>
      </c>
      <c r="Q30" s="32">
        <f t="shared" si="5"/>
        <v>0</v>
      </c>
      <c r="R30" s="28"/>
      <c r="S30" s="29"/>
      <c r="T30" s="29"/>
      <c r="U30" s="29"/>
      <c r="V30" s="29"/>
      <c r="W30" s="29"/>
      <c r="X30" s="29"/>
      <c r="Y30" s="33"/>
      <c r="Z30" s="102">
        <f t="shared" si="6"/>
        <v>0</v>
      </c>
      <c r="AA30" s="139" t="s">
        <v>246</v>
      </c>
      <c r="AH30"/>
      <c r="AI30"/>
      <c r="AJ30"/>
    </row>
    <row r="31" spans="1:36" ht="14.5" x14ac:dyDescent="0.35">
      <c r="A31" s="3"/>
      <c r="B31" s="112"/>
      <c r="C31" s="26"/>
      <c r="D31" s="27"/>
      <c r="E31" s="28"/>
      <c r="F31" s="29"/>
      <c r="G31" s="144">
        <f t="shared" si="0"/>
        <v>0</v>
      </c>
      <c r="H31" s="28"/>
      <c r="I31" s="29"/>
      <c r="J31" s="144">
        <f t="shared" si="1"/>
        <v>0</v>
      </c>
      <c r="K31" s="30">
        <f t="shared" si="13"/>
        <v>0</v>
      </c>
      <c r="L31" s="31">
        <f t="shared" si="2"/>
        <v>0</v>
      </c>
      <c r="M31" s="144">
        <f t="shared" si="3"/>
        <v>0</v>
      </c>
      <c r="N31" s="28"/>
      <c r="O31" s="29"/>
      <c r="P31" s="147">
        <f t="shared" si="4"/>
        <v>0</v>
      </c>
      <c r="Q31" s="32">
        <f t="shared" si="5"/>
        <v>0</v>
      </c>
      <c r="R31" s="28"/>
      <c r="S31" s="29"/>
      <c r="T31" s="29"/>
      <c r="U31" s="29"/>
      <c r="V31" s="29"/>
      <c r="W31" s="29"/>
      <c r="X31" s="29"/>
      <c r="Y31" s="33"/>
      <c r="Z31" s="102">
        <f t="shared" si="6"/>
        <v>0</v>
      </c>
      <c r="AA31" s="139" t="s">
        <v>106</v>
      </c>
      <c r="AH31"/>
      <c r="AI31"/>
      <c r="AJ31"/>
    </row>
    <row r="32" spans="1:36" ht="14.5" x14ac:dyDescent="0.35">
      <c r="A32" s="3"/>
      <c r="B32" s="112"/>
      <c r="C32" s="26"/>
      <c r="D32" s="27"/>
      <c r="E32" s="28"/>
      <c r="F32" s="29"/>
      <c r="G32" s="144">
        <f t="shared" si="0"/>
        <v>0</v>
      </c>
      <c r="H32" s="28"/>
      <c r="I32" s="29"/>
      <c r="J32" s="144">
        <f t="shared" si="1"/>
        <v>0</v>
      </c>
      <c r="K32" s="30">
        <f t="shared" si="13"/>
        <v>0</v>
      </c>
      <c r="L32" s="31">
        <f t="shared" si="2"/>
        <v>0</v>
      </c>
      <c r="M32" s="144">
        <f t="shared" si="3"/>
        <v>0</v>
      </c>
      <c r="N32" s="28"/>
      <c r="O32" s="29"/>
      <c r="P32" s="147">
        <f t="shared" si="4"/>
        <v>0</v>
      </c>
      <c r="Q32" s="32">
        <f t="shared" si="5"/>
        <v>0</v>
      </c>
      <c r="R32" s="28"/>
      <c r="S32" s="29"/>
      <c r="T32" s="29"/>
      <c r="U32" s="29"/>
      <c r="V32" s="29"/>
      <c r="W32" s="29"/>
      <c r="X32" s="29"/>
      <c r="Y32" s="33"/>
      <c r="Z32" s="102">
        <f t="shared" si="6"/>
        <v>0</v>
      </c>
      <c r="AA32" s="139" t="s">
        <v>121</v>
      </c>
      <c r="AH32"/>
      <c r="AI32"/>
      <c r="AJ32"/>
    </row>
    <row r="33" spans="1:36" ht="14.5" x14ac:dyDescent="0.35">
      <c r="A33" s="3"/>
      <c r="B33" s="112"/>
      <c r="C33" s="26"/>
      <c r="D33" s="27"/>
      <c r="E33" s="28"/>
      <c r="F33" s="29"/>
      <c r="G33" s="144">
        <f t="shared" si="0"/>
        <v>0</v>
      </c>
      <c r="H33" s="28"/>
      <c r="I33" s="29"/>
      <c r="J33" s="144">
        <f t="shared" si="1"/>
        <v>0</v>
      </c>
      <c r="K33" s="30">
        <f t="shared" si="13"/>
        <v>0</v>
      </c>
      <c r="L33" s="31">
        <f t="shared" si="2"/>
        <v>0</v>
      </c>
      <c r="M33" s="144">
        <f t="shared" si="3"/>
        <v>0</v>
      </c>
      <c r="N33" s="28"/>
      <c r="O33" s="29"/>
      <c r="P33" s="147">
        <f t="shared" si="4"/>
        <v>0</v>
      </c>
      <c r="Q33" s="32">
        <f t="shared" si="5"/>
        <v>0</v>
      </c>
      <c r="R33" s="28"/>
      <c r="S33" s="29"/>
      <c r="T33" s="29"/>
      <c r="U33" s="29"/>
      <c r="V33" s="29"/>
      <c r="W33" s="29"/>
      <c r="X33" s="29"/>
      <c r="Y33" s="33"/>
      <c r="Z33" s="102">
        <f t="shared" si="6"/>
        <v>0</v>
      </c>
      <c r="AA33" s="139" t="s">
        <v>107</v>
      </c>
      <c r="AH33"/>
      <c r="AI33"/>
      <c r="AJ33"/>
    </row>
    <row r="34" spans="1:36" ht="14.5" x14ac:dyDescent="0.35">
      <c r="A34" s="3"/>
      <c r="B34" s="112"/>
      <c r="C34" s="26"/>
      <c r="D34" s="27"/>
      <c r="E34" s="28"/>
      <c r="F34" s="29"/>
      <c r="G34" s="144">
        <f t="shared" si="0"/>
        <v>0</v>
      </c>
      <c r="H34" s="28"/>
      <c r="I34" s="29"/>
      <c r="J34" s="144">
        <f t="shared" si="1"/>
        <v>0</v>
      </c>
      <c r="K34" s="30">
        <f t="shared" si="13"/>
        <v>0</v>
      </c>
      <c r="L34" s="31">
        <f t="shared" si="2"/>
        <v>0</v>
      </c>
      <c r="M34" s="144">
        <f t="shared" si="3"/>
        <v>0</v>
      </c>
      <c r="N34" s="28"/>
      <c r="O34" s="29"/>
      <c r="P34" s="147">
        <f t="shared" si="4"/>
        <v>0</v>
      </c>
      <c r="Q34" s="32">
        <f t="shared" si="5"/>
        <v>0</v>
      </c>
      <c r="R34" s="28"/>
      <c r="S34" s="29"/>
      <c r="T34" s="29"/>
      <c r="U34" s="29"/>
      <c r="V34" s="29"/>
      <c r="W34" s="29"/>
      <c r="X34" s="29"/>
      <c r="Y34" s="33"/>
      <c r="Z34" s="102">
        <f t="shared" si="6"/>
        <v>0</v>
      </c>
      <c r="AA34" s="139" t="s">
        <v>108</v>
      </c>
      <c r="AH34"/>
      <c r="AI34"/>
      <c r="AJ34"/>
    </row>
    <row r="35" spans="1:36" ht="15" thickBot="1" x14ac:dyDescent="0.4">
      <c r="A35" s="3"/>
      <c r="B35" s="113"/>
      <c r="C35" s="34"/>
      <c r="D35" s="35"/>
      <c r="E35" s="36"/>
      <c r="F35" s="37"/>
      <c r="G35" s="145">
        <f t="shared" si="0"/>
        <v>0</v>
      </c>
      <c r="H35" s="36"/>
      <c r="I35" s="37"/>
      <c r="J35" s="145">
        <f t="shared" si="1"/>
        <v>0</v>
      </c>
      <c r="K35" s="38">
        <f>E35+H35</f>
        <v>0</v>
      </c>
      <c r="L35" s="39">
        <f t="shared" si="2"/>
        <v>0</v>
      </c>
      <c r="M35" s="145">
        <f t="shared" si="3"/>
        <v>0</v>
      </c>
      <c r="N35" s="28"/>
      <c r="O35" s="37"/>
      <c r="P35" s="148">
        <f t="shared" si="4"/>
        <v>0</v>
      </c>
      <c r="Q35" s="40">
        <f t="shared" si="5"/>
        <v>0</v>
      </c>
      <c r="R35" s="36"/>
      <c r="S35" s="37"/>
      <c r="T35" s="37"/>
      <c r="U35" s="37"/>
      <c r="V35" s="37"/>
      <c r="W35" s="37"/>
      <c r="X35" s="37"/>
      <c r="Y35" s="41"/>
      <c r="Z35" s="103">
        <f t="shared" si="6"/>
        <v>0</v>
      </c>
      <c r="AA35" s="139" t="s">
        <v>109</v>
      </c>
      <c r="AH35"/>
      <c r="AI35"/>
      <c r="AJ35"/>
    </row>
    <row r="36" spans="1:36" ht="15" thickBot="1" x14ac:dyDescent="0.4">
      <c r="A36" s="3"/>
      <c r="B36" s="168" t="s">
        <v>36</v>
      </c>
      <c r="C36" s="169"/>
      <c r="D36" s="153"/>
      <c r="E36" s="172"/>
      <c r="F36" s="173"/>
      <c r="G36" s="174"/>
      <c r="H36" s="172"/>
      <c r="I36" s="173"/>
      <c r="J36" s="174"/>
      <c r="K36" s="172"/>
      <c r="L36" s="173"/>
      <c r="M36" s="174"/>
      <c r="N36" s="172"/>
      <c r="O36" s="173"/>
      <c r="P36" s="174"/>
      <c r="Q36" s="154"/>
      <c r="R36" s="105"/>
      <c r="S36" s="105"/>
      <c r="T36" s="151"/>
      <c r="U36" s="105"/>
      <c r="V36" s="105"/>
      <c r="W36" s="151"/>
      <c r="X36" s="152"/>
      <c r="Y36" s="106"/>
      <c r="Z36" s="107"/>
      <c r="AA36" s="139" t="s">
        <v>110</v>
      </c>
      <c r="AH36"/>
      <c r="AI36"/>
      <c r="AJ36"/>
    </row>
    <row r="37" spans="1:36" ht="15" thickBot="1" x14ac:dyDescent="0.4">
      <c r="A37" s="3"/>
      <c r="B37" s="170" t="s">
        <v>37</v>
      </c>
      <c r="C37" s="171"/>
      <c r="D37" s="43">
        <f>SUM(D16:D35)</f>
        <v>0</v>
      </c>
      <c r="E37" s="1">
        <f>SUM(E16:E35)</f>
        <v>0</v>
      </c>
      <c r="F37" s="2">
        <f>SUM(F16:F35)</f>
        <v>0</v>
      </c>
      <c r="G37" s="150">
        <f>IFERROR((E37/F37*100),0)</f>
        <v>0</v>
      </c>
      <c r="H37" s="1">
        <f>SUM(H16:H35)</f>
        <v>0</v>
      </c>
      <c r="I37" s="2">
        <f>SUM(I16:I35)</f>
        <v>0</v>
      </c>
      <c r="J37" s="150">
        <f t="shared" si="1"/>
        <v>0</v>
      </c>
      <c r="K37" s="1">
        <f t="shared" ref="K37" si="14">SUM(K16:K35)</f>
        <v>0</v>
      </c>
      <c r="L37" s="2">
        <f>SUM(L16:L35)</f>
        <v>0</v>
      </c>
      <c r="M37" s="150">
        <f t="shared" ref="M37" si="15">IFERROR((K37/L37*100),0)</f>
        <v>0</v>
      </c>
      <c r="N37" s="1">
        <f t="shared" ref="N37:O37" si="16">SUM(N16:N35)</f>
        <v>0</v>
      </c>
      <c r="O37" s="2">
        <f t="shared" si="16"/>
        <v>0</v>
      </c>
      <c r="P37" s="150">
        <f>IFERROR((N37/O37*100),0)</f>
        <v>0</v>
      </c>
      <c r="Q37" s="44">
        <f>SUM(Q16:Q35)</f>
        <v>0</v>
      </c>
      <c r="R37" s="44">
        <f>SUM(R16:R36)</f>
        <v>0</v>
      </c>
      <c r="S37" s="45">
        <f>SUM(S16:S36)</f>
        <v>0</v>
      </c>
      <c r="T37" s="45">
        <f>SUM(T16:T35)</f>
        <v>0</v>
      </c>
      <c r="U37" s="45">
        <f t="shared" ref="U37:V37" si="17">SUM(U16:U36)</f>
        <v>0</v>
      </c>
      <c r="V37" s="45">
        <f t="shared" si="17"/>
        <v>0</v>
      </c>
      <c r="W37" s="45">
        <f>SUM(W16:W35)</f>
        <v>0</v>
      </c>
      <c r="X37" s="45">
        <f>SUM(X16:X36)</f>
        <v>0</v>
      </c>
      <c r="Y37" s="46">
        <f>SUM(Y16:Y36)</f>
        <v>0</v>
      </c>
      <c r="Z37" s="47">
        <f>SUM(Z16:Z35)</f>
        <v>0</v>
      </c>
      <c r="AA37" s="139" t="s">
        <v>111</v>
      </c>
      <c r="AH37"/>
      <c r="AI37"/>
      <c r="AJ37"/>
    </row>
    <row r="38" spans="1:36" ht="9" customHeight="1" x14ac:dyDescent="0.35">
      <c r="A38" s="3"/>
      <c r="B38" s="48"/>
      <c r="C38" s="48"/>
      <c r="D38" s="48"/>
      <c r="E38" s="48"/>
      <c r="F38" s="48"/>
      <c r="G38" s="48"/>
      <c r="H38" s="48"/>
      <c r="I38" s="48"/>
      <c r="J38" s="48"/>
      <c r="K38" s="49"/>
      <c r="L38" s="49"/>
      <c r="M38" s="49"/>
      <c r="N38" s="49"/>
      <c r="O38" s="49"/>
      <c r="P38" s="49"/>
      <c r="Q38" s="49"/>
      <c r="R38" s="49"/>
      <c r="S38" s="49"/>
      <c r="T38" s="49"/>
      <c r="U38" s="49"/>
      <c r="V38" s="49"/>
      <c r="W38" s="49"/>
      <c r="X38" s="49"/>
      <c r="Y38" s="48"/>
      <c r="Z38" s="48"/>
      <c r="AA38" s="139" t="s">
        <v>112</v>
      </c>
      <c r="AH38"/>
      <c r="AI38"/>
      <c r="AJ38"/>
    </row>
    <row r="39" spans="1:36" ht="10.5" customHeight="1" x14ac:dyDescent="0.35">
      <c r="A39" s="3"/>
      <c r="B39" s="225" t="s">
        <v>51</v>
      </c>
      <c r="C39" s="225"/>
      <c r="D39" s="225"/>
      <c r="E39" s="225"/>
      <c r="F39" s="225"/>
      <c r="G39" s="225"/>
      <c r="H39" s="48"/>
      <c r="I39" s="225" t="s">
        <v>43</v>
      </c>
      <c r="J39" s="225"/>
      <c r="K39" s="225"/>
      <c r="L39" s="225"/>
      <c r="M39" s="225"/>
      <c r="N39" s="48"/>
      <c r="O39" s="225" t="s">
        <v>46</v>
      </c>
      <c r="P39" s="225"/>
      <c r="Q39" s="225"/>
      <c r="R39" s="225"/>
      <c r="S39" s="225"/>
      <c r="T39" s="225"/>
      <c r="U39" s="225" t="s">
        <v>49</v>
      </c>
      <c r="V39" s="225"/>
      <c r="W39" s="225"/>
      <c r="X39" s="225"/>
      <c r="Y39" s="225"/>
      <c r="Z39" s="225"/>
      <c r="AA39" s="139" t="s">
        <v>113</v>
      </c>
      <c r="AH39"/>
      <c r="AI39"/>
      <c r="AJ39"/>
    </row>
    <row r="40" spans="1:36" ht="10.5" customHeight="1" x14ac:dyDescent="0.35">
      <c r="A40" s="3"/>
      <c r="B40" s="225" t="s">
        <v>213</v>
      </c>
      <c r="C40" s="225"/>
      <c r="D40" s="225" t="s">
        <v>38</v>
      </c>
      <c r="E40" s="225"/>
      <c r="F40" s="225"/>
      <c r="G40" s="225"/>
      <c r="H40" s="48"/>
      <c r="I40" s="225" t="s">
        <v>44</v>
      </c>
      <c r="J40" s="225"/>
      <c r="K40" s="225"/>
      <c r="L40" s="225"/>
      <c r="M40" s="225"/>
      <c r="N40" s="48"/>
      <c r="O40" s="225" t="s">
        <v>47</v>
      </c>
      <c r="P40" s="225"/>
      <c r="Q40" s="225"/>
      <c r="R40" s="225"/>
      <c r="S40" s="225"/>
      <c r="T40" s="225"/>
      <c r="U40" s="225" t="s">
        <v>50</v>
      </c>
      <c r="V40" s="225"/>
      <c r="W40" s="225"/>
      <c r="X40" s="225"/>
      <c r="Y40" s="225"/>
      <c r="Z40" s="225"/>
      <c r="AA40" s="139" t="s">
        <v>114</v>
      </c>
      <c r="AH40"/>
      <c r="AI40"/>
      <c r="AJ40"/>
    </row>
    <row r="41" spans="1:36" ht="10.5" customHeight="1" x14ac:dyDescent="0.35">
      <c r="A41" s="3"/>
      <c r="B41" s="225" t="s">
        <v>214</v>
      </c>
      <c r="C41" s="225"/>
      <c r="D41" s="225" t="s">
        <v>39</v>
      </c>
      <c r="E41" s="225"/>
      <c r="F41" s="225"/>
      <c r="G41" s="225"/>
      <c r="H41" s="48"/>
      <c r="I41" s="225" t="s">
        <v>45</v>
      </c>
      <c r="J41" s="225"/>
      <c r="K41" s="225"/>
      <c r="L41" s="225"/>
      <c r="M41" s="225"/>
      <c r="N41" s="48"/>
      <c r="O41" s="225" t="s">
        <v>48</v>
      </c>
      <c r="P41" s="225"/>
      <c r="Q41" s="225"/>
      <c r="R41" s="225"/>
      <c r="S41" s="225"/>
      <c r="T41" s="225"/>
      <c r="U41" s="225"/>
      <c r="V41" s="225"/>
      <c r="W41" s="225"/>
      <c r="X41" s="225"/>
      <c r="Y41" s="225"/>
      <c r="Z41" s="225"/>
      <c r="AA41" s="139" t="s">
        <v>115</v>
      </c>
      <c r="AH41"/>
      <c r="AI41"/>
      <c r="AJ41"/>
    </row>
    <row r="42" spans="1:36" ht="10.5" customHeight="1" x14ac:dyDescent="0.35">
      <c r="A42" s="3"/>
      <c r="B42" s="225" t="s">
        <v>41</v>
      </c>
      <c r="C42" s="225"/>
      <c r="D42" s="225" t="s">
        <v>40</v>
      </c>
      <c r="E42" s="225"/>
      <c r="F42" s="225"/>
      <c r="G42" s="225"/>
      <c r="H42" s="48"/>
      <c r="I42" s="225" t="s">
        <v>42</v>
      </c>
      <c r="J42" s="225"/>
      <c r="K42" s="225"/>
      <c r="L42" s="225"/>
      <c r="M42" s="225"/>
      <c r="N42" s="48"/>
      <c r="O42" s="225" t="s">
        <v>215</v>
      </c>
      <c r="P42" s="225"/>
      <c r="Q42" s="225"/>
      <c r="R42" s="225"/>
      <c r="S42" s="225"/>
      <c r="T42" s="225"/>
      <c r="U42" s="227" t="s">
        <v>216</v>
      </c>
      <c r="V42" s="227"/>
      <c r="W42" s="227"/>
      <c r="X42" s="227"/>
      <c r="Y42" s="227"/>
      <c r="Z42" s="227"/>
      <c r="AA42" s="139" t="s">
        <v>116</v>
      </c>
      <c r="AB42" s="50"/>
      <c r="AH42"/>
      <c r="AI42"/>
      <c r="AJ42"/>
    </row>
    <row r="43" spans="1:36" ht="10.5" customHeight="1" x14ac:dyDescent="0.35">
      <c r="A43" s="3"/>
      <c r="B43" s="225"/>
      <c r="C43" s="225"/>
      <c r="D43" s="48"/>
      <c r="E43" s="48"/>
      <c r="F43" s="48"/>
      <c r="G43" s="48"/>
      <c r="H43" s="48"/>
      <c r="I43" s="48"/>
      <c r="J43" s="48"/>
      <c r="K43" s="48"/>
      <c r="L43" s="48"/>
      <c r="M43" s="48"/>
      <c r="N43" s="48"/>
      <c r="O43" s="48"/>
      <c r="P43" s="48"/>
      <c r="Q43" s="48"/>
      <c r="R43" s="48"/>
      <c r="S43" s="48"/>
      <c r="T43" s="48"/>
      <c r="U43" s="227"/>
      <c r="V43" s="227"/>
      <c r="W43" s="227"/>
      <c r="X43" s="227"/>
      <c r="Y43" s="227"/>
      <c r="Z43" s="227"/>
      <c r="AA43" s="51"/>
      <c r="AB43" s="50"/>
      <c r="AH43"/>
      <c r="AI43"/>
      <c r="AJ43"/>
    </row>
    <row r="44" spans="1:36" ht="9" customHeight="1" x14ac:dyDescent="0.35">
      <c r="A44" s="3"/>
      <c r="B44" s="226"/>
      <c r="C44" s="226"/>
      <c r="D44" s="226"/>
      <c r="E44" s="226"/>
      <c r="F44" s="226"/>
      <c r="G44" s="226"/>
      <c r="H44" s="226"/>
      <c r="I44" s="226"/>
      <c r="J44" s="226"/>
      <c r="K44" s="226"/>
      <c r="L44" s="226"/>
      <c r="M44" s="226"/>
      <c r="N44" s="226"/>
      <c r="O44" s="226"/>
      <c r="P44" s="226"/>
      <c r="Q44" s="226"/>
      <c r="R44" s="226"/>
      <c r="S44" s="226"/>
      <c r="T44" s="52"/>
      <c r="U44" s="53"/>
      <c r="V44" s="53"/>
      <c r="W44" s="53"/>
      <c r="X44" s="53"/>
      <c r="Y44" s="53"/>
      <c r="Z44" s="53"/>
      <c r="AA44" s="166"/>
      <c r="AB44" s="50"/>
      <c r="AH44"/>
      <c r="AI44"/>
      <c r="AJ44"/>
    </row>
    <row r="45" spans="1:36" ht="28.5" x14ac:dyDescent="0.35">
      <c r="A45" s="3"/>
      <c r="B45" s="188" t="s">
        <v>52</v>
      </c>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H45"/>
      <c r="AI45"/>
      <c r="AJ45"/>
    </row>
    <row r="46" spans="1:36" ht="15" thickBo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c r="AA46" s="3"/>
      <c r="AH46"/>
      <c r="AI46"/>
      <c r="AJ46"/>
    </row>
    <row r="47" spans="1:36" ht="15" thickBot="1" x14ac:dyDescent="0.4">
      <c r="A47" s="3"/>
      <c r="B47" s="3"/>
      <c r="C47" s="3"/>
      <c r="D47" s="228" t="s">
        <v>23</v>
      </c>
      <c r="E47" s="229"/>
      <c r="F47" s="229"/>
      <c r="G47" s="229"/>
      <c r="H47" s="229"/>
      <c r="I47" s="229"/>
      <c r="J47" s="229"/>
      <c r="K47" s="229"/>
      <c r="L47" s="230"/>
      <c r="M47" s="3" t="s">
        <v>22</v>
      </c>
      <c r="N47" s="228" t="s">
        <v>24</v>
      </c>
      <c r="O47" s="229"/>
      <c r="P47" s="229"/>
      <c r="Q47" s="229"/>
      <c r="R47" s="229"/>
      <c r="S47" s="229"/>
      <c r="T47" s="229"/>
      <c r="U47" s="230"/>
      <c r="V47" s="6"/>
      <c r="W47" s="3"/>
      <c r="X47" s="3"/>
      <c r="Y47" s="3"/>
      <c r="Z47" s="3"/>
      <c r="AA47" s="3"/>
      <c r="AH47"/>
      <c r="AI47"/>
      <c r="AJ47"/>
    </row>
    <row r="48" spans="1:36" ht="15" thickBot="1" x14ac:dyDescent="0.4">
      <c r="A48" s="3"/>
      <c r="B48" s="3"/>
      <c r="C48" s="3"/>
      <c r="D48" s="231" t="str">
        <f>D4</f>
        <v>DOMÁCI</v>
      </c>
      <c r="E48" s="232"/>
      <c r="F48" s="232"/>
      <c r="G48" s="232"/>
      <c r="H48" s="232"/>
      <c r="I48" s="232"/>
      <c r="J48" s="232"/>
      <c r="K48" s="232"/>
      <c r="L48" s="233"/>
      <c r="M48" s="3" t="s">
        <v>22</v>
      </c>
      <c r="N48" s="231" t="str">
        <f>N4</f>
        <v>HOSTIA</v>
      </c>
      <c r="O48" s="232"/>
      <c r="P48" s="232"/>
      <c r="Q48" s="232"/>
      <c r="R48" s="232"/>
      <c r="S48" s="232"/>
      <c r="T48" s="232"/>
      <c r="U48" s="233"/>
      <c r="V48" s="6"/>
      <c r="W48" s="3"/>
      <c r="X48" s="3"/>
      <c r="Y48" s="3"/>
      <c r="Z48" s="3"/>
      <c r="AA48" s="3"/>
      <c r="AH48"/>
      <c r="AI48"/>
      <c r="AJ48"/>
    </row>
    <row r="49" spans="1:36" ht="15" thickBot="1" x14ac:dyDescent="0.4">
      <c r="A49" s="3"/>
      <c r="B49" s="3"/>
      <c r="C49" s="55" t="s">
        <v>30</v>
      </c>
      <c r="D49" s="231">
        <f>D5</f>
        <v>0</v>
      </c>
      <c r="E49" s="232"/>
      <c r="F49" s="232"/>
      <c r="G49" s="232"/>
      <c r="H49" s="232"/>
      <c r="I49" s="232"/>
      <c r="J49" s="232"/>
      <c r="K49" s="232"/>
      <c r="L49" s="233"/>
      <c r="M49" s="3" t="s">
        <v>22</v>
      </c>
      <c r="N49" s="231">
        <f>N5</f>
        <v>0</v>
      </c>
      <c r="O49" s="232"/>
      <c r="P49" s="232"/>
      <c r="Q49" s="232"/>
      <c r="R49" s="232"/>
      <c r="S49" s="232"/>
      <c r="T49" s="232"/>
      <c r="U49" s="233"/>
      <c r="V49" s="6"/>
      <c r="W49" s="3"/>
      <c r="X49" s="3"/>
      <c r="Y49" s="3"/>
      <c r="Z49" s="3"/>
      <c r="AA49" s="3"/>
      <c r="AH49"/>
      <c r="AI49"/>
      <c r="AJ49"/>
    </row>
    <row r="50" spans="1:36" ht="15" thickBo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c r="AA50" s="9"/>
      <c r="AH50"/>
      <c r="AI50"/>
      <c r="AJ50"/>
    </row>
    <row r="51" spans="1:36" ht="15" thickBot="1" x14ac:dyDescent="0.4">
      <c r="A51" s="3"/>
      <c r="B51" s="3"/>
      <c r="C51" s="242" t="s">
        <v>25</v>
      </c>
      <c r="D51" s="243"/>
      <c r="E51" s="244">
        <f>E7</f>
        <v>0</v>
      </c>
      <c r="F51" s="245"/>
      <c r="G51" s="245"/>
      <c r="H51" s="245"/>
      <c r="I51" s="245"/>
      <c r="J51" s="245"/>
      <c r="K51" s="245"/>
      <c r="L51" s="246"/>
      <c r="M51" s="3"/>
      <c r="N51" s="239" t="s">
        <v>53</v>
      </c>
      <c r="O51" s="240"/>
      <c r="P51" s="240"/>
      <c r="Q51" s="240"/>
      <c r="R51" s="240"/>
      <c r="S51" s="240"/>
      <c r="T51" s="240"/>
      <c r="U51" s="240"/>
      <c r="V51" s="240"/>
      <c r="W51" s="240"/>
      <c r="X51" s="241"/>
      <c r="Y51" s="255" t="s">
        <v>54</v>
      </c>
      <c r="Z51" s="256"/>
      <c r="AA51" s="9"/>
      <c r="AH51"/>
      <c r="AI51"/>
      <c r="AJ51"/>
    </row>
    <row r="52" spans="1:36" ht="14.5" x14ac:dyDescent="0.35">
      <c r="A52" s="3"/>
      <c r="B52" s="3"/>
      <c r="C52" s="234" t="s">
        <v>26</v>
      </c>
      <c r="D52" s="235"/>
      <c r="E52" s="247">
        <f>E8</f>
        <v>45901</v>
      </c>
      <c r="F52" s="248"/>
      <c r="G52" s="248"/>
      <c r="H52" s="248"/>
      <c r="I52" s="248"/>
      <c r="J52" s="248"/>
      <c r="K52" s="248"/>
      <c r="L52" s="249"/>
      <c r="M52" s="3"/>
      <c r="N52" s="250"/>
      <c r="O52" s="251"/>
      <c r="P52" s="251"/>
      <c r="Q52" s="251"/>
      <c r="R52" s="251"/>
      <c r="S52" s="251"/>
      <c r="T52" s="251"/>
      <c r="U52" s="251"/>
      <c r="V52" s="251"/>
      <c r="W52" s="251"/>
      <c r="X52" s="251"/>
      <c r="Y52" s="251"/>
      <c r="Z52" s="265"/>
      <c r="AA52" s="9"/>
      <c r="AH52"/>
      <c r="AI52"/>
      <c r="AJ52"/>
    </row>
    <row r="53" spans="1:36" ht="14.5" x14ac:dyDescent="0.35">
      <c r="A53" s="3"/>
      <c r="B53" s="3"/>
      <c r="C53" s="234" t="s">
        <v>27</v>
      </c>
      <c r="D53" s="235"/>
      <c r="E53" s="236">
        <f>E9</f>
        <v>0</v>
      </c>
      <c r="F53" s="237"/>
      <c r="G53" s="237"/>
      <c r="H53" s="237"/>
      <c r="I53" s="237"/>
      <c r="J53" s="237"/>
      <c r="K53" s="237"/>
      <c r="L53" s="238"/>
      <c r="M53" s="3"/>
      <c r="N53" s="252"/>
      <c r="O53" s="253"/>
      <c r="P53" s="253"/>
      <c r="Q53" s="253"/>
      <c r="R53" s="253"/>
      <c r="S53" s="253"/>
      <c r="T53" s="253"/>
      <c r="U53" s="253"/>
      <c r="V53" s="253"/>
      <c r="W53" s="253"/>
      <c r="X53" s="253"/>
      <c r="Y53" s="253"/>
      <c r="Z53" s="266"/>
      <c r="AA53" s="9"/>
      <c r="AH53"/>
      <c r="AI53"/>
      <c r="AJ53"/>
    </row>
    <row r="54" spans="1:36" ht="15" thickBot="1" x14ac:dyDescent="0.4">
      <c r="A54" s="3"/>
      <c r="B54" s="3"/>
      <c r="C54" s="234" t="s">
        <v>28</v>
      </c>
      <c r="D54" s="235"/>
      <c r="E54" s="260">
        <f t="shared" ref="E54" si="18">E10</f>
        <v>0</v>
      </c>
      <c r="F54" s="261"/>
      <c r="G54" s="261"/>
      <c r="H54" s="261"/>
      <c r="I54" s="261"/>
      <c r="J54" s="261"/>
      <c r="K54" s="261"/>
      <c r="L54" s="262"/>
      <c r="M54" s="3"/>
      <c r="N54" s="257"/>
      <c r="O54" s="258"/>
      <c r="P54" s="258"/>
      <c r="Q54" s="258"/>
      <c r="R54" s="258"/>
      <c r="S54" s="258"/>
      <c r="T54" s="258"/>
      <c r="U54" s="258"/>
      <c r="V54" s="258"/>
      <c r="W54" s="258"/>
      <c r="X54" s="259"/>
      <c r="Y54" s="263"/>
      <c r="Z54" s="264"/>
      <c r="AA54" s="9"/>
    </row>
    <row r="55" spans="1:36" ht="15" thickBot="1" x14ac:dyDescent="0.4">
      <c r="A55" s="3"/>
      <c r="B55" s="3"/>
      <c r="C55" s="287" t="s">
        <v>29</v>
      </c>
      <c r="D55" s="288"/>
      <c r="E55" s="289">
        <f>E11</f>
        <v>0</v>
      </c>
      <c r="F55" s="290"/>
      <c r="G55" s="290"/>
      <c r="H55" s="290"/>
      <c r="I55" s="290"/>
      <c r="J55" s="290"/>
      <c r="K55" s="290"/>
      <c r="L55" s="291"/>
      <c r="M55" s="3"/>
      <c r="N55" s="9"/>
      <c r="O55" s="9"/>
      <c r="P55" s="9"/>
      <c r="Q55" s="9"/>
      <c r="R55" s="9"/>
      <c r="S55" s="9"/>
      <c r="T55" s="9"/>
      <c r="U55" s="9"/>
      <c r="V55" s="9"/>
      <c r="W55" s="9"/>
      <c r="X55" s="9"/>
      <c r="Y55" s="9"/>
      <c r="Z55" s="3"/>
      <c r="AA55" s="9"/>
    </row>
    <row r="56" spans="1:36" ht="12.75" customHeight="1" x14ac:dyDescent="0.35">
      <c r="A56" s="3"/>
      <c r="B56" s="3"/>
      <c r="C56" s="3"/>
      <c r="D56" s="3"/>
      <c r="E56" s="3"/>
      <c r="F56" s="3"/>
      <c r="G56" s="3"/>
      <c r="H56" s="3"/>
      <c r="I56" s="3"/>
      <c r="J56" s="3"/>
      <c r="K56" s="3"/>
      <c r="L56" s="3"/>
      <c r="M56" s="3"/>
      <c r="N56" s="267" t="s">
        <v>217</v>
      </c>
      <c r="O56" s="268"/>
      <c r="P56" s="268"/>
      <c r="Q56" s="268"/>
      <c r="R56" s="268"/>
      <c r="S56" s="268"/>
      <c r="T56" s="268"/>
      <c r="U56" s="268"/>
      <c r="V56" s="268"/>
      <c r="W56" s="268"/>
      <c r="X56" s="268"/>
      <c r="Y56" s="268"/>
      <c r="Z56" s="269"/>
      <c r="AA56" s="9"/>
    </row>
    <row r="57" spans="1:36" ht="15" customHeight="1" x14ac:dyDescent="0.35">
      <c r="A57" s="3"/>
      <c r="B57" s="3"/>
      <c r="C57" s="3"/>
      <c r="D57" s="3"/>
      <c r="E57" s="3"/>
      <c r="F57" s="3"/>
      <c r="G57" s="3"/>
      <c r="H57" s="3"/>
      <c r="I57" s="3"/>
      <c r="J57" s="3"/>
      <c r="K57" s="3"/>
      <c r="L57" s="3"/>
      <c r="M57" s="3"/>
      <c r="N57" s="270"/>
      <c r="O57" s="271"/>
      <c r="P57" s="271"/>
      <c r="Q57" s="271"/>
      <c r="R57" s="271"/>
      <c r="S57" s="271"/>
      <c r="T57" s="271"/>
      <c r="U57" s="271"/>
      <c r="V57" s="271"/>
      <c r="W57" s="271"/>
      <c r="X57" s="271"/>
      <c r="Y57" s="271"/>
      <c r="Z57" s="272"/>
      <c r="AA57" s="9"/>
    </row>
    <row r="58" spans="1:36" ht="12.75" customHeight="1" x14ac:dyDescent="0.35">
      <c r="A58" s="3"/>
      <c r="B58" s="3"/>
      <c r="C58" s="285" t="s">
        <v>55</v>
      </c>
      <c r="D58" s="285"/>
      <c r="E58" s="285"/>
      <c r="F58" s="285"/>
      <c r="G58" s="285"/>
      <c r="H58" s="285"/>
      <c r="I58" s="285"/>
      <c r="J58" s="285"/>
      <c r="K58" s="285"/>
      <c r="L58" s="285"/>
      <c r="M58" s="3"/>
      <c r="N58" s="270"/>
      <c r="O58" s="271"/>
      <c r="P58" s="271"/>
      <c r="Q58" s="271"/>
      <c r="R58" s="271"/>
      <c r="S58" s="271"/>
      <c r="T58" s="271"/>
      <c r="U58" s="271"/>
      <c r="V58" s="271"/>
      <c r="W58" s="271"/>
      <c r="X58" s="271"/>
      <c r="Y58" s="271"/>
      <c r="Z58" s="272"/>
      <c r="AA58" s="9"/>
    </row>
    <row r="59" spans="1:36" ht="13.5" customHeight="1" thickBot="1" x14ac:dyDescent="0.4">
      <c r="A59" s="3"/>
      <c r="B59" s="3"/>
      <c r="C59" s="285"/>
      <c r="D59" s="285"/>
      <c r="E59" s="285"/>
      <c r="F59" s="285"/>
      <c r="G59" s="285"/>
      <c r="H59" s="285"/>
      <c r="I59" s="285"/>
      <c r="J59" s="285"/>
      <c r="K59" s="285"/>
      <c r="L59" s="285"/>
      <c r="M59" s="3"/>
      <c r="N59" s="273"/>
      <c r="O59" s="274"/>
      <c r="P59" s="274"/>
      <c r="Q59" s="274"/>
      <c r="R59" s="274"/>
      <c r="S59" s="274"/>
      <c r="T59" s="274"/>
      <c r="U59" s="274"/>
      <c r="V59" s="274"/>
      <c r="W59" s="274"/>
      <c r="X59" s="274"/>
      <c r="Y59" s="274"/>
      <c r="Z59" s="275"/>
      <c r="AA59" s="9"/>
    </row>
    <row r="60" spans="1:36" ht="13.5" customHeight="1" thickBot="1" x14ac:dyDescent="0.4">
      <c r="A60" s="3"/>
      <c r="B60" s="3"/>
      <c r="C60" s="286"/>
      <c r="D60" s="286"/>
      <c r="E60" s="286"/>
      <c r="F60" s="286"/>
      <c r="G60" s="286"/>
      <c r="H60" s="286"/>
      <c r="I60" s="286"/>
      <c r="J60" s="286"/>
      <c r="K60" s="286"/>
      <c r="L60" s="286"/>
      <c r="M60" s="3"/>
      <c r="N60" s="3"/>
      <c r="O60" s="3"/>
      <c r="P60" s="3"/>
      <c r="Q60" s="3"/>
      <c r="R60" s="3"/>
      <c r="S60" s="3"/>
      <c r="T60" s="3"/>
      <c r="U60" s="3"/>
      <c r="V60" s="3"/>
      <c r="W60" s="3"/>
      <c r="X60" s="3"/>
      <c r="Y60" s="3"/>
      <c r="Z60" s="3"/>
      <c r="AA60" s="9"/>
    </row>
    <row r="61" spans="1:36" ht="11.25" customHeight="1" x14ac:dyDescent="0.35">
      <c r="A61" s="3"/>
      <c r="B61" s="3"/>
      <c r="C61" s="276" t="s">
        <v>210</v>
      </c>
      <c r="D61" s="277"/>
      <c r="E61" s="277"/>
      <c r="F61" s="277"/>
      <c r="G61" s="277"/>
      <c r="H61" s="277"/>
      <c r="I61" s="277"/>
      <c r="J61" s="277"/>
      <c r="K61" s="277"/>
      <c r="L61" s="277"/>
      <c r="M61" s="277"/>
      <c r="N61" s="277"/>
      <c r="O61" s="277"/>
      <c r="P61" s="277"/>
      <c r="Q61" s="277"/>
      <c r="R61" s="277"/>
      <c r="S61" s="277"/>
      <c r="T61" s="277"/>
      <c r="U61" s="277"/>
      <c r="V61" s="277"/>
      <c r="W61" s="277"/>
      <c r="X61" s="277"/>
      <c r="Y61" s="277"/>
      <c r="Z61" s="278"/>
      <c r="AA61" s="9"/>
    </row>
    <row r="62" spans="1:36" ht="11.25" customHeight="1" x14ac:dyDescent="0.35">
      <c r="A62" s="3"/>
      <c r="B62" s="3"/>
      <c r="C62" s="279"/>
      <c r="D62" s="280"/>
      <c r="E62" s="280"/>
      <c r="F62" s="280"/>
      <c r="G62" s="280"/>
      <c r="H62" s="280"/>
      <c r="I62" s="280"/>
      <c r="J62" s="280"/>
      <c r="K62" s="280"/>
      <c r="L62" s="280"/>
      <c r="M62" s="280"/>
      <c r="N62" s="280"/>
      <c r="O62" s="280"/>
      <c r="P62" s="280"/>
      <c r="Q62" s="280"/>
      <c r="R62" s="280"/>
      <c r="S62" s="280"/>
      <c r="T62" s="280"/>
      <c r="U62" s="280"/>
      <c r="V62" s="280"/>
      <c r="W62" s="280"/>
      <c r="X62" s="280"/>
      <c r="Y62" s="280"/>
      <c r="Z62" s="281"/>
      <c r="AA62" s="9"/>
    </row>
    <row r="63" spans="1:36" ht="11.25" customHeight="1" x14ac:dyDescent="0.35">
      <c r="A63" s="3"/>
      <c r="B63" s="3"/>
      <c r="C63" s="279"/>
      <c r="D63" s="280"/>
      <c r="E63" s="280"/>
      <c r="F63" s="280"/>
      <c r="G63" s="280"/>
      <c r="H63" s="280"/>
      <c r="I63" s="280"/>
      <c r="J63" s="280"/>
      <c r="K63" s="280"/>
      <c r="L63" s="280"/>
      <c r="M63" s="280"/>
      <c r="N63" s="280"/>
      <c r="O63" s="280"/>
      <c r="P63" s="280"/>
      <c r="Q63" s="280"/>
      <c r="R63" s="280"/>
      <c r="S63" s="280"/>
      <c r="T63" s="280"/>
      <c r="U63" s="280"/>
      <c r="V63" s="280"/>
      <c r="W63" s="280"/>
      <c r="X63" s="280"/>
      <c r="Y63" s="280"/>
      <c r="Z63" s="281"/>
      <c r="AA63" s="9"/>
    </row>
    <row r="64" spans="1:36" ht="11.25" customHeight="1" x14ac:dyDescent="0.35">
      <c r="A64" s="3"/>
      <c r="B64" s="3"/>
      <c r="C64" s="279"/>
      <c r="D64" s="280"/>
      <c r="E64" s="280"/>
      <c r="F64" s="280"/>
      <c r="G64" s="280"/>
      <c r="H64" s="280"/>
      <c r="I64" s="280"/>
      <c r="J64" s="280"/>
      <c r="K64" s="280"/>
      <c r="L64" s="280"/>
      <c r="M64" s="280"/>
      <c r="N64" s="280"/>
      <c r="O64" s="280"/>
      <c r="P64" s="280"/>
      <c r="Q64" s="280"/>
      <c r="R64" s="280"/>
      <c r="S64" s="280"/>
      <c r="T64" s="280"/>
      <c r="U64" s="280"/>
      <c r="V64" s="280"/>
      <c r="W64" s="280"/>
      <c r="X64" s="280"/>
      <c r="Y64" s="280"/>
      <c r="Z64" s="281"/>
      <c r="AA64" s="9"/>
    </row>
    <row r="65" spans="1:28" ht="11.25" customHeight="1" x14ac:dyDescent="0.35">
      <c r="A65" s="3"/>
      <c r="B65" s="3"/>
      <c r="C65" s="279"/>
      <c r="D65" s="280"/>
      <c r="E65" s="280"/>
      <c r="F65" s="280"/>
      <c r="G65" s="280"/>
      <c r="H65" s="280"/>
      <c r="I65" s="280"/>
      <c r="J65" s="280"/>
      <c r="K65" s="280"/>
      <c r="L65" s="280"/>
      <c r="M65" s="280"/>
      <c r="N65" s="280"/>
      <c r="O65" s="280"/>
      <c r="P65" s="280"/>
      <c r="Q65" s="280"/>
      <c r="R65" s="280"/>
      <c r="S65" s="280"/>
      <c r="T65" s="280"/>
      <c r="U65" s="280"/>
      <c r="V65" s="280"/>
      <c r="W65" s="280"/>
      <c r="X65" s="280"/>
      <c r="Y65" s="280"/>
      <c r="Z65" s="281"/>
      <c r="AA65" s="9"/>
    </row>
    <row r="66" spans="1:28" ht="11.25" customHeight="1" x14ac:dyDescent="0.35">
      <c r="A66" s="3"/>
      <c r="B66" s="3"/>
      <c r="C66" s="279"/>
      <c r="D66" s="280"/>
      <c r="E66" s="280"/>
      <c r="F66" s="280"/>
      <c r="G66" s="280"/>
      <c r="H66" s="280"/>
      <c r="I66" s="280"/>
      <c r="J66" s="280"/>
      <c r="K66" s="280"/>
      <c r="L66" s="280"/>
      <c r="M66" s="280"/>
      <c r="N66" s="280"/>
      <c r="O66" s="280"/>
      <c r="P66" s="280"/>
      <c r="Q66" s="280"/>
      <c r="R66" s="280"/>
      <c r="S66" s="280"/>
      <c r="T66" s="280"/>
      <c r="U66" s="280"/>
      <c r="V66" s="280"/>
      <c r="W66" s="280"/>
      <c r="X66" s="280"/>
      <c r="Y66" s="280"/>
      <c r="Z66" s="281"/>
      <c r="AA66" s="9"/>
    </row>
    <row r="67" spans="1:28" ht="11.25" customHeight="1" x14ac:dyDescent="0.35">
      <c r="A67" s="3"/>
      <c r="B67" s="3"/>
      <c r="C67" s="279"/>
      <c r="D67" s="280"/>
      <c r="E67" s="280"/>
      <c r="F67" s="280"/>
      <c r="G67" s="280"/>
      <c r="H67" s="280"/>
      <c r="I67" s="280"/>
      <c r="J67" s="280"/>
      <c r="K67" s="280"/>
      <c r="L67" s="280"/>
      <c r="M67" s="280"/>
      <c r="N67" s="280"/>
      <c r="O67" s="280"/>
      <c r="P67" s="280"/>
      <c r="Q67" s="280"/>
      <c r="R67" s="280"/>
      <c r="S67" s="280"/>
      <c r="T67" s="280"/>
      <c r="U67" s="280"/>
      <c r="V67" s="280"/>
      <c r="W67" s="280"/>
      <c r="X67" s="280"/>
      <c r="Y67" s="280"/>
      <c r="Z67" s="281"/>
      <c r="AA67" s="9"/>
    </row>
    <row r="68" spans="1:28" ht="11.25" customHeight="1" x14ac:dyDescent="0.35">
      <c r="A68" s="3"/>
      <c r="B68" s="3"/>
      <c r="C68" s="279"/>
      <c r="D68" s="280"/>
      <c r="E68" s="280"/>
      <c r="F68" s="280"/>
      <c r="G68" s="280"/>
      <c r="H68" s="280"/>
      <c r="I68" s="280"/>
      <c r="J68" s="280"/>
      <c r="K68" s="280"/>
      <c r="L68" s="280"/>
      <c r="M68" s="280"/>
      <c r="N68" s="280"/>
      <c r="O68" s="280"/>
      <c r="P68" s="280"/>
      <c r="Q68" s="280"/>
      <c r="R68" s="280"/>
      <c r="S68" s="280"/>
      <c r="T68" s="280"/>
      <c r="U68" s="280"/>
      <c r="V68" s="280"/>
      <c r="W68" s="280"/>
      <c r="X68" s="280"/>
      <c r="Y68" s="280"/>
      <c r="Z68" s="281"/>
      <c r="AA68" s="9"/>
    </row>
    <row r="69" spans="1:28" ht="11.25" customHeight="1" x14ac:dyDescent="0.35">
      <c r="A69" s="3"/>
      <c r="B69" s="3"/>
      <c r="C69" s="279"/>
      <c r="D69" s="280"/>
      <c r="E69" s="280"/>
      <c r="F69" s="280"/>
      <c r="G69" s="280"/>
      <c r="H69" s="280"/>
      <c r="I69" s="280"/>
      <c r="J69" s="280"/>
      <c r="K69" s="280"/>
      <c r="L69" s="280"/>
      <c r="M69" s="280"/>
      <c r="N69" s="280"/>
      <c r="O69" s="280"/>
      <c r="P69" s="280"/>
      <c r="Q69" s="280"/>
      <c r="R69" s="280"/>
      <c r="S69" s="280"/>
      <c r="T69" s="280"/>
      <c r="U69" s="280"/>
      <c r="V69" s="280"/>
      <c r="W69" s="280"/>
      <c r="X69" s="280"/>
      <c r="Y69" s="280"/>
      <c r="Z69" s="281"/>
      <c r="AA69" s="9"/>
    </row>
    <row r="70" spans="1:28" ht="11.25" customHeight="1" x14ac:dyDescent="0.35">
      <c r="A70" s="3"/>
      <c r="B70" s="3"/>
      <c r="C70" s="279"/>
      <c r="D70" s="280"/>
      <c r="E70" s="280"/>
      <c r="F70" s="280"/>
      <c r="G70" s="280"/>
      <c r="H70" s="280"/>
      <c r="I70" s="280"/>
      <c r="J70" s="280"/>
      <c r="K70" s="280"/>
      <c r="L70" s="280"/>
      <c r="M70" s="280"/>
      <c r="N70" s="280"/>
      <c r="O70" s="280"/>
      <c r="P70" s="280"/>
      <c r="Q70" s="280"/>
      <c r="R70" s="280"/>
      <c r="S70" s="280"/>
      <c r="T70" s="280"/>
      <c r="U70" s="280"/>
      <c r="V70" s="280"/>
      <c r="W70" s="280"/>
      <c r="X70" s="280"/>
      <c r="Y70" s="280"/>
      <c r="Z70" s="281"/>
      <c r="AA70" s="9"/>
    </row>
    <row r="71" spans="1:28" ht="11.25" customHeight="1" x14ac:dyDescent="0.35">
      <c r="A71" s="3"/>
      <c r="B71" s="3"/>
      <c r="C71" s="279"/>
      <c r="D71" s="280"/>
      <c r="E71" s="280"/>
      <c r="F71" s="280"/>
      <c r="G71" s="280"/>
      <c r="H71" s="280"/>
      <c r="I71" s="280"/>
      <c r="J71" s="280"/>
      <c r="K71" s="280"/>
      <c r="L71" s="280"/>
      <c r="M71" s="280"/>
      <c r="N71" s="280"/>
      <c r="O71" s="280"/>
      <c r="P71" s="280"/>
      <c r="Q71" s="280"/>
      <c r="R71" s="280"/>
      <c r="S71" s="280"/>
      <c r="T71" s="280"/>
      <c r="U71" s="280"/>
      <c r="V71" s="280"/>
      <c r="W71" s="280"/>
      <c r="X71" s="280"/>
      <c r="Y71" s="280"/>
      <c r="Z71" s="281"/>
      <c r="AA71" s="9"/>
    </row>
    <row r="72" spans="1:28" ht="11.25" customHeight="1" x14ac:dyDescent="0.35">
      <c r="A72" s="3"/>
      <c r="B72" s="3"/>
      <c r="C72" s="279"/>
      <c r="D72" s="280"/>
      <c r="E72" s="280"/>
      <c r="F72" s="280"/>
      <c r="G72" s="280"/>
      <c r="H72" s="280"/>
      <c r="I72" s="280"/>
      <c r="J72" s="280"/>
      <c r="K72" s="280"/>
      <c r="L72" s="280"/>
      <c r="M72" s="280"/>
      <c r="N72" s="280"/>
      <c r="O72" s="280"/>
      <c r="P72" s="280"/>
      <c r="Q72" s="280"/>
      <c r="R72" s="280"/>
      <c r="S72" s="280"/>
      <c r="T72" s="280"/>
      <c r="U72" s="280"/>
      <c r="V72" s="280"/>
      <c r="W72" s="280"/>
      <c r="X72" s="280"/>
      <c r="Y72" s="280"/>
      <c r="Z72" s="281"/>
      <c r="AA72" s="9"/>
    </row>
    <row r="73" spans="1:28" ht="11.25" customHeight="1" x14ac:dyDescent="0.35">
      <c r="A73" s="3"/>
      <c r="B73" s="3"/>
      <c r="C73" s="279"/>
      <c r="D73" s="280"/>
      <c r="E73" s="280"/>
      <c r="F73" s="280"/>
      <c r="G73" s="280"/>
      <c r="H73" s="280"/>
      <c r="I73" s="280"/>
      <c r="J73" s="280"/>
      <c r="K73" s="280"/>
      <c r="L73" s="280"/>
      <c r="M73" s="280"/>
      <c r="N73" s="280"/>
      <c r="O73" s="280"/>
      <c r="P73" s="280"/>
      <c r="Q73" s="280"/>
      <c r="R73" s="280"/>
      <c r="S73" s="280"/>
      <c r="T73" s="280"/>
      <c r="U73" s="280"/>
      <c r="V73" s="280"/>
      <c r="W73" s="280"/>
      <c r="X73" s="280"/>
      <c r="Y73" s="280"/>
      <c r="Z73" s="281"/>
      <c r="AA73" s="9"/>
    </row>
    <row r="74" spans="1:28" ht="11.25" customHeight="1" x14ac:dyDescent="0.35">
      <c r="A74" s="3"/>
      <c r="B74" s="3"/>
      <c r="C74" s="279"/>
      <c r="D74" s="280"/>
      <c r="E74" s="280"/>
      <c r="F74" s="280"/>
      <c r="G74" s="280"/>
      <c r="H74" s="280"/>
      <c r="I74" s="280"/>
      <c r="J74" s="280"/>
      <c r="K74" s="280"/>
      <c r="L74" s="280"/>
      <c r="M74" s="280"/>
      <c r="N74" s="280"/>
      <c r="O74" s="280"/>
      <c r="P74" s="280"/>
      <c r="Q74" s="280"/>
      <c r="R74" s="280"/>
      <c r="S74" s="280"/>
      <c r="T74" s="280"/>
      <c r="U74" s="280"/>
      <c r="V74" s="280"/>
      <c r="W74" s="280"/>
      <c r="X74" s="280"/>
      <c r="Y74" s="280"/>
      <c r="Z74" s="281"/>
      <c r="AA74" s="9"/>
    </row>
    <row r="75" spans="1:28" ht="11.25" customHeight="1" x14ac:dyDescent="0.35">
      <c r="A75" s="3"/>
      <c r="B75" s="3"/>
      <c r="C75" s="279"/>
      <c r="D75" s="280"/>
      <c r="E75" s="280"/>
      <c r="F75" s="280"/>
      <c r="G75" s="280"/>
      <c r="H75" s="280"/>
      <c r="I75" s="280"/>
      <c r="J75" s="280"/>
      <c r="K75" s="280"/>
      <c r="L75" s="280"/>
      <c r="M75" s="280"/>
      <c r="N75" s="280"/>
      <c r="O75" s="280"/>
      <c r="P75" s="280"/>
      <c r="Q75" s="280"/>
      <c r="R75" s="280"/>
      <c r="S75" s="280"/>
      <c r="T75" s="280"/>
      <c r="U75" s="280"/>
      <c r="V75" s="280"/>
      <c r="W75" s="280"/>
      <c r="X75" s="280"/>
      <c r="Y75" s="280"/>
      <c r="Z75" s="281"/>
      <c r="AA75" s="9"/>
    </row>
    <row r="76" spans="1:28" ht="11.25" customHeight="1" thickBot="1" x14ac:dyDescent="0.4">
      <c r="A76" s="3"/>
      <c r="B76" s="3"/>
      <c r="C76" s="282"/>
      <c r="D76" s="283"/>
      <c r="E76" s="283"/>
      <c r="F76" s="283"/>
      <c r="G76" s="283"/>
      <c r="H76" s="283"/>
      <c r="I76" s="283"/>
      <c r="J76" s="283"/>
      <c r="K76" s="283"/>
      <c r="L76" s="283"/>
      <c r="M76" s="283"/>
      <c r="N76" s="283"/>
      <c r="O76" s="283"/>
      <c r="P76" s="283"/>
      <c r="Q76" s="283"/>
      <c r="R76" s="283"/>
      <c r="S76" s="283"/>
      <c r="T76" s="283"/>
      <c r="U76" s="283"/>
      <c r="V76" s="283"/>
      <c r="W76" s="283"/>
      <c r="X76" s="283"/>
      <c r="Y76" s="283"/>
      <c r="Z76" s="284"/>
      <c r="AA76" s="9"/>
    </row>
    <row r="77" spans="1:28" ht="9"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8" ht="14.25" customHeight="1" x14ac:dyDescent="0.35">
      <c r="A78" s="3"/>
      <c r="B78" s="3"/>
      <c r="C78" s="254" t="s">
        <v>239</v>
      </c>
      <c r="D78" s="254"/>
      <c r="E78" s="254"/>
      <c r="F78" s="254"/>
      <c r="G78" s="254"/>
      <c r="H78" s="254"/>
      <c r="I78" s="254"/>
      <c r="J78" s="254"/>
      <c r="K78" s="254"/>
      <c r="L78" s="254"/>
      <c r="M78" s="254"/>
      <c r="N78" s="254"/>
      <c r="O78" s="254"/>
      <c r="P78" s="254"/>
      <c r="Q78" s="254"/>
      <c r="R78" s="254"/>
      <c r="S78" s="254"/>
      <c r="T78" s="254"/>
      <c r="U78" s="254"/>
      <c r="V78" s="254"/>
      <c r="W78" s="254"/>
      <c r="X78" s="254"/>
      <c r="Y78" s="254"/>
      <c r="Z78" s="254"/>
      <c r="AA78" s="3"/>
    </row>
    <row r="79" spans="1:28" ht="15" customHeight="1" x14ac:dyDescent="0.35">
      <c r="A79"/>
      <c r="B79"/>
      <c r="C79"/>
      <c r="D79"/>
      <c r="E79"/>
      <c r="F79"/>
      <c r="G79"/>
      <c r="H79"/>
      <c r="I79"/>
      <c r="J79"/>
      <c r="K79"/>
      <c r="L79"/>
      <c r="M79"/>
      <c r="N79"/>
      <c r="O79"/>
      <c r="P79"/>
      <c r="Q79"/>
      <c r="R79"/>
      <c r="S79"/>
      <c r="T79"/>
      <c r="U79"/>
      <c r="V79"/>
      <c r="W79"/>
      <c r="X79"/>
      <c r="Y79"/>
      <c r="Z79"/>
      <c r="AA79"/>
      <c r="AB79"/>
    </row>
    <row r="80" spans="1:28" ht="15" customHeight="1" x14ac:dyDescent="0.35">
      <c r="A80"/>
      <c r="B80"/>
      <c r="C80"/>
      <c r="D80"/>
      <c r="E80"/>
      <c r="F80"/>
      <c r="G80"/>
      <c r="H80"/>
      <c r="I80"/>
      <c r="J80"/>
      <c r="K80"/>
      <c r="L80"/>
      <c r="M80"/>
      <c r="N80"/>
      <c r="O80"/>
      <c r="P80"/>
      <c r="Q80"/>
      <c r="R80"/>
      <c r="S80"/>
      <c r="T80"/>
      <c r="U80"/>
      <c r="V80"/>
      <c r="W80"/>
      <c r="X80"/>
      <c r="Y80"/>
      <c r="Z80"/>
      <c r="AA80"/>
      <c r="AB80"/>
    </row>
    <row r="81" spans="1:28" ht="15" customHeight="1" x14ac:dyDescent="0.35">
      <c r="A81"/>
      <c r="B81"/>
      <c r="C81"/>
      <c r="D81"/>
      <c r="E81"/>
      <c r="F81"/>
      <c r="G81"/>
      <c r="H81"/>
      <c r="I81"/>
      <c r="J81"/>
      <c r="K81"/>
      <c r="L81"/>
      <c r="M81"/>
      <c r="N81"/>
      <c r="O81"/>
      <c r="P81"/>
      <c r="Q81"/>
      <c r="R81"/>
      <c r="S81"/>
      <c r="T81"/>
      <c r="U81"/>
      <c r="V81"/>
      <c r="W81"/>
      <c r="X81"/>
      <c r="Y81"/>
      <c r="Z81"/>
      <c r="AA81"/>
      <c r="AB81"/>
    </row>
    <row r="82" spans="1:28" ht="15" customHeight="1" x14ac:dyDescent="0.35">
      <c r="A82"/>
      <c r="B82"/>
      <c r="C82"/>
      <c r="D82"/>
      <c r="E82"/>
      <c r="F82"/>
      <c r="G82"/>
      <c r="H82"/>
      <c r="I82"/>
      <c r="J82"/>
      <c r="K82"/>
      <c r="L82"/>
      <c r="M82"/>
      <c r="N82"/>
      <c r="O82"/>
      <c r="P82"/>
      <c r="Q82"/>
      <c r="R82"/>
      <c r="S82"/>
      <c r="T82"/>
      <c r="U82"/>
      <c r="V82"/>
      <c r="W82"/>
      <c r="X82"/>
      <c r="Y82"/>
      <c r="Z82"/>
      <c r="AA82"/>
      <c r="AB82"/>
    </row>
    <row r="83" spans="1:28" ht="12.75" customHeight="1" x14ac:dyDescent="0.35">
      <c r="A83"/>
      <c r="B83"/>
      <c r="C83"/>
      <c r="D83"/>
      <c r="E83"/>
      <c r="F83"/>
      <c r="G83"/>
      <c r="H83"/>
      <c r="I83"/>
      <c r="J83"/>
      <c r="K83"/>
      <c r="L83"/>
      <c r="M83"/>
      <c r="N83"/>
      <c r="O83"/>
      <c r="P83"/>
      <c r="Q83"/>
      <c r="R83"/>
      <c r="S83"/>
      <c r="T83"/>
      <c r="U83"/>
      <c r="V83"/>
      <c r="W83"/>
      <c r="X83"/>
      <c r="Y83"/>
      <c r="Z83"/>
      <c r="AA83"/>
      <c r="AB83"/>
    </row>
  </sheetData>
  <sheetProtection algorithmName="SHA-512" hashValue="FE2agk1XAERJw0qPkqhGkaK7W2CT4GKE6ZsJTqbtgJZu0B1WK3+pmRav8z39REhcNMY2IqDn76rIBZAbywCZVA==" saltValue="QOy7k/3NEsJXEyosOeVyPw==" spinCount="100000" sheet="1" objects="1" scenarios="1"/>
  <mergeCells count="97">
    <mergeCell ref="C78:Z78"/>
    <mergeCell ref="Y51:Z51"/>
    <mergeCell ref="N54:X54"/>
    <mergeCell ref="C54:D54"/>
    <mergeCell ref="E54:L54"/>
    <mergeCell ref="Y54:Z54"/>
    <mergeCell ref="Y52:Z52"/>
    <mergeCell ref="Y53:Z53"/>
    <mergeCell ref="N56:Z59"/>
    <mergeCell ref="C61:Z76"/>
    <mergeCell ref="C58:L60"/>
    <mergeCell ref="C55:D55"/>
    <mergeCell ref="E55:L55"/>
    <mergeCell ref="N47:U47"/>
    <mergeCell ref="D48:L48"/>
    <mergeCell ref="N48:U48"/>
    <mergeCell ref="C53:D53"/>
    <mergeCell ref="E53:L53"/>
    <mergeCell ref="N51:X51"/>
    <mergeCell ref="D49:L49"/>
    <mergeCell ref="N49:U49"/>
    <mergeCell ref="C51:D51"/>
    <mergeCell ref="E51:L51"/>
    <mergeCell ref="C52:D52"/>
    <mergeCell ref="E52:L52"/>
    <mergeCell ref="D47:L47"/>
    <mergeCell ref="N52:X52"/>
    <mergeCell ref="N53:X53"/>
    <mergeCell ref="U40:Z40"/>
    <mergeCell ref="U41:Z41"/>
    <mergeCell ref="B39:G39"/>
    <mergeCell ref="I39:M39"/>
    <mergeCell ref="I40:M40"/>
    <mergeCell ref="I41:M41"/>
    <mergeCell ref="O39:T39"/>
    <mergeCell ref="O40:T40"/>
    <mergeCell ref="D40:G40"/>
    <mergeCell ref="B40:C40"/>
    <mergeCell ref="B41:C41"/>
    <mergeCell ref="O41:T41"/>
    <mergeCell ref="D41:G41"/>
    <mergeCell ref="U39:Z39"/>
    <mergeCell ref="B45:AA45"/>
    <mergeCell ref="B42:C42"/>
    <mergeCell ref="B43:C43"/>
    <mergeCell ref="B44:S44"/>
    <mergeCell ref="O42:T42"/>
    <mergeCell ref="I42:M42"/>
    <mergeCell ref="D42:G42"/>
    <mergeCell ref="U42:Z43"/>
    <mergeCell ref="E8:L8"/>
    <mergeCell ref="E9:L9"/>
    <mergeCell ref="E10:L10"/>
    <mergeCell ref="E11:L11"/>
    <mergeCell ref="C7:D7"/>
    <mergeCell ref="C8:D8"/>
    <mergeCell ref="C9:D9"/>
    <mergeCell ref="C10:D10"/>
    <mergeCell ref="C11:D11"/>
    <mergeCell ref="E7:L7"/>
    <mergeCell ref="N4:U4"/>
    <mergeCell ref="N5:U5"/>
    <mergeCell ref="X13:X15"/>
    <mergeCell ref="Y13:Y15"/>
    <mergeCell ref="Q13:Q15"/>
    <mergeCell ref="P7:W7"/>
    <mergeCell ref="P8:W8"/>
    <mergeCell ref="P9:W9"/>
    <mergeCell ref="P10:W10"/>
    <mergeCell ref="P11:W11"/>
    <mergeCell ref="AA13:AA15"/>
    <mergeCell ref="B1:AA1"/>
    <mergeCell ref="D3:L3"/>
    <mergeCell ref="D4:L4"/>
    <mergeCell ref="D5:L5"/>
    <mergeCell ref="R13:R15"/>
    <mergeCell ref="S13:S15"/>
    <mergeCell ref="T13:T15"/>
    <mergeCell ref="U13:U15"/>
    <mergeCell ref="V13:V15"/>
    <mergeCell ref="W13:W15"/>
    <mergeCell ref="H14:J14"/>
    <mergeCell ref="K14:M14"/>
    <mergeCell ref="N14:P14"/>
    <mergeCell ref="E13:P13"/>
    <mergeCell ref="N3:U3"/>
    <mergeCell ref="B13:B15"/>
    <mergeCell ref="C13:C15"/>
    <mergeCell ref="D13:D15"/>
    <mergeCell ref="E14:G14"/>
    <mergeCell ref="Z13:Z15"/>
    <mergeCell ref="B36:C36"/>
    <mergeCell ref="B37:C37"/>
    <mergeCell ref="H36:J36"/>
    <mergeCell ref="K36:M36"/>
    <mergeCell ref="N36:P36"/>
    <mergeCell ref="E36:G36"/>
  </mergeCells>
  <conditionalFormatting sqref="B16:B35">
    <cfRule type="duplicateValues" dxfId="77" priority="39" stopIfTrue="1"/>
  </conditionalFormatting>
  <conditionalFormatting sqref="C16:C35">
    <cfRule type="duplicateValues" dxfId="76" priority="1"/>
  </conditionalFormatting>
  <conditionalFormatting sqref="C61:Z76">
    <cfRule type="containsBlanks" dxfId="75" priority="13">
      <formula>LEN(TRIM(C61))=0</formula>
    </cfRule>
  </conditionalFormatting>
  <conditionalFormatting sqref="D16:D35">
    <cfRule type="expression" dxfId="74" priority="63">
      <formula>OR(D16&gt;60,D16&lt;0)</formula>
    </cfRule>
  </conditionalFormatting>
  <conditionalFormatting sqref="D37">
    <cfRule type="expression" dxfId="73" priority="56" stopIfTrue="1">
      <formula>AND(ISNUMBER(D37), NOT(OR(D37=0, D37=200, D37=225, D37=250, D37=275, D37=300)))</formula>
    </cfRule>
  </conditionalFormatting>
  <conditionalFormatting sqref="D5:L5">
    <cfRule type="expression" dxfId="72" priority="36">
      <formula>$D$5&lt;&gt;($X$10+$X$11)</formula>
    </cfRule>
  </conditionalFormatting>
  <conditionalFormatting sqref="E16:E35">
    <cfRule type="expression" dxfId="71" priority="62">
      <formula>E16&gt;F16</formula>
    </cfRule>
  </conditionalFormatting>
  <conditionalFormatting sqref="G16:G35">
    <cfRule type="cellIs" dxfId="70" priority="43" operator="greaterThan">
      <formula>100</formula>
    </cfRule>
  </conditionalFormatting>
  <conditionalFormatting sqref="G37">
    <cfRule type="cellIs" dxfId="69" priority="10" operator="greaterThan">
      <formula>100</formula>
    </cfRule>
  </conditionalFormatting>
  <conditionalFormatting sqref="H16:H35">
    <cfRule type="expression" dxfId="68" priority="61">
      <formula>H16&gt;I16</formula>
    </cfRule>
  </conditionalFormatting>
  <conditionalFormatting sqref="J16:J35">
    <cfRule type="cellIs" dxfId="67" priority="42" operator="greaterThan">
      <formula>100</formula>
    </cfRule>
  </conditionalFormatting>
  <conditionalFormatting sqref="J37">
    <cfRule type="cellIs" dxfId="66" priority="9" operator="greaterThan">
      <formula>100</formula>
    </cfRule>
  </conditionalFormatting>
  <conditionalFormatting sqref="M16:M35">
    <cfRule type="cellIs" dxfId="65" priority="41" operator="greaterThan">
      <formula>100</formula>
    </cfRule>
  </conditionalFormatting>
  <conditionalFormatting sqref="M37">
    <cfRule type="cellIs" dxfId="64" priority="12" operator="greaterThan">
      <formula>100</formula>
    </cfRule>
  </conditionalFormatting>
  <conditionalFormatting sqref="N16:N35">
    <cfRule type="expression" dxfId="63" priority="2">
      <formula>N16&gt;O16</formula>
    </cfRule>
  </conditionalFormatting>
  <conditionalFormatting sqref="N5:U5">
    <cfRule type="expression" dxfId="62" priority="35">
      <formula>$N$5&lt;&gt;($Y$10+$Y$11)</formula>
    </cfRule>
  </conditionalFormatting>
  <conditionalFormatting sqref="N52:Z54">
    <cfRule type="containsBlanks" dxfId="61" priority="14">
      <formula>LEN(TRIM(N52))=0</formula>
    </cfRule>
  </conditionalFormatting>
  <conditionalFormatting sqref="O17:O35">
    <cfRule type="expression" dxfId="60" priority="19">
      <formula>O17&gt;50</formula>
    </cfRule>
  </conditionalFormatting>
  <conditionalFormatting sqref="P16:P35">
    <cfRule type="cellIs" dxfId="59" priority="40" operator="greaterThan">
      <formula>100</formula>
    </cfRule>
  </conditionalFormatting>
  <conditionalFormatting sqref="P37">
    <cfRule type="cellIs" dxfId="58" priority="11" operator="greaterThan">
      <formula>100</formula>
    </cfRule>
  </conditionalFormatting>
  <conditionalFormatting sqref="Q37">
    <cfRule type="expression" dxfId="57" priority="31">
      <formula>AND(Q37&lt;&gt;D5, Q37&lt;&gt;N5, Q37&lt;&gt;X9, Q37&lt;&gt;Y9, Q37&lt;&gt;X10, Q37&lt;&gt;Y10)</formula>
    </cfRule>
  </conditionalFormatting>
  <conditionalFormatting sqref="R16:W35">
    <cfRule type="expression" dxfId="56" priority="23">
      <formula>R16&gt;50</formula>
    </cfRule>
  </conditionalFormatting>
  <conditionalFormatting sqref="X7">
    <cfRule type="cellIs" dxfId="55" priority="8" operator="greaterThan">
      <formula>$X$8</formula>
    </cfRule>
  </conditionalFormatting>
  <conditionalFormatting sqref="X8">
    <cfRule type="cellIs" dxfId="54" priority="7" operator="greaterThan">
      <formula>$X$9</formula>
    </cfRule>
    <cfRule type="expression" dxfId="53" priority="54">
      <formula>$X$8&lt;$X$7</formula>
    </cfRule>
  </conditionalFormatting>
  <conditionalFormatting sqref="X9">
    <cfRule type="cellIs" dxfId="52" priority="6" operator="greaterThan">
      <formula>$X$10</formula>
    </cfRule>
    <cfRule type="expression" dxfId="51" priority="52">
      <formula>$X$9&lt;$X$8</formula>
    </cfRule>
  </conditionalFormatting>
  <conditionalFormatting sqref="X10">
    <cfRule type="expression" dxfId="50" priority="38">
      <formula>($X$10+$X$11)&lt;&gt;$D$5</formula>
    </cfRule>
    <cfRule type="expression" dxfId="49" priority="50">
      <formula>$X$10&lt;$X$9</formula>
    </cfRule>
  </conditionalFormatting>
  <conditionalFormatting sqref="X16:X35">
    <cfRule type="expression" dxfId="48" priority="22">
      <formula>X16&gt;5</formula>
    </cfRule>
  </conditionalFormatting>
  <conditionalFormatting sqref="X11:Y11">
    <cfRule type="duplicateValues" dxfId="47" priority="34"/>
  </conditionalFormatting>
  <conditionalFormatting sqref="Y7">
    <cfRule type="cellIs" dxfId="46" priority="5" operator="greaterThan">
      <formula>$Y$8</formula>
    </cfRule>
  </conditionalFormatting>
  <conditionalFormatting sqref="Y8">
    <cfRule type="cellIs" dxfId="45" priority="4" operator="greaterThan">
      <formula>$Y$9</formula>
    </cfRule>
    <cfRule type="expression" dxfId="44" priority="53">
      <formula>$Y$8&lt;$Y$7</formula>
    </cfRule>
  </conditionalFormatting>
  <conditionalFormatting sqref="Y9">
    <cfRule type="cellIs" dxfId="43" priority="3" operator="greaterThan">
      <formula>$Y$10</formula>
    </cfRule>
    <cfRule type="expression" dxfId="42" priority="51">
      <formula>$Y$9&lt;$Y$8</formula>
    </cfRule>
  </conditionalFormatting>
  <conditionalFormatting sqref="Y10">
    <cfRule type="expression" dxfId="41" priority="37">
      <formula>$N$5&lt;&gt;($Y$10+$Y$11)</formula>
    </cfRule>
    <cfRule type="expression" dxfId="40" priority="49">
      <formula>$Y$10&lt;$Y$9</formula>
    </cfRule>
  </conditionalFormatting>
  <conditionalFormatting sqref="Y16:Y35">
    <cfRule type="expression" dxfId="39" priority="21">
      <formula>Y16&gt;50</formula>
    </cfRule>
  </conditionalFormatting>
  <dataValidations xWindow="275" yWindow="396" count="11">
    <dataValidation type="whole" allowBlank="1" showInputMessage="1" showErrorMessage="1" errorTitle="Nesprávna hodnota" error="Zadajte len celé kladné číslo" promptTitle="UPOZORNENIE" prompt="ZADAJTE LEN CELÉ ČÍSLA (zaokrúhlovať od ##:3# hore, do ##:2# dole)._x000a__x000a_Inak import nebude fungovať." sqref="D16:D35" xr:uid="{82389EDA-25D9-0C4A-BEE7-BFD4B3B54588}">
      <formula1>-100</formula1>
      <formula2>100</formula2>
    </dataValidation>
    <dataValidation type="list" allowBlank="1" showInputMessage="1" showErrorMessage="1" errorTitle="Vyberte DOMÁCI alebo HOSTIA" promptTitle="Vyberte zo zoznamu" sqref="E11:L11" xr:uid="{4165860B-507A-8F43-B278-A874B3A18A25}">
      <formula1>$AA$7:$AA$8</formula1>
    </dataValidation>
    <dataValidation allowBlank="1" showInputMessage="1" showErrorMessage="1" errorTitle="Zadajte len čísla" error="Zadajte čísla od 00, 0, 1.... do 97, 98, 99." sqref="B16:B35" xr:uid="{811D9715-2361-0A4D-B12E-A039B2913D50}"/>
    <dataValidation allowBlank="1" showInputMessage="1" showErrorMessage="1" promptTitle="UPOZORNENIE" prompt="Pri zadávaní remízovéhp stavu predĺženia budú na červeno svietiť obe bunky, ak si želáte ponechať remízu aj po predĺžení, tak prosím ignorujte červené podfarbenie." sqref="X11:Y11" xr:uid="{A493426A-1EB3-2940-894A-BA0028107B92}"/>
    <dataValidation allowBlank="1" showInputMessage="1" showErrorMessage="1" promptTitle="UPOZORNENIE" prompt="Priezvisko a meno zadajte v tvare: PRIEZVISKO Meno so správnymi interpunkčnými znamienkami podľa súpisky družstva, inak import nebude fungovať." sqref="N52:X54 C16:C35" xr:uid="{7D611CCB-3DE0-7943-9F4B-2412F8A0BD4C}"/>
    <dataValidation allowBlank="1" showInputMessage="1" showErrorMessage="1" promptTitle="UPOZORNENIE" prompt="VYPĹŇA SA AUTOMATICKY Z HORNEJ ČASTI FORMULÁRU." sqref="D48:L49 N48:U49 E51:L55" xr:uid="{39B08009-BC3F-ED49-8051-AFFD6F26B37D}"/>
    <dataValidation type="list" allowBlank="1" showInputMessage="1" showErrorMessage="1" errorTitle="NESPRÁVNY NÁZOV SÚŤAŽE" promptTitle="VYBERTE Z PONUKY" sqref="E9:L9" xr:uid="{5550579E-8D02-7743-9AFC-9A808AC5E27A}">
      <formula1>$AA$16:$AA$42</formula1>
    </dataValidation>
    <dataValidation type="date" errorStyle="warning" allowBlank="1" showInputMessage="1" showErrorMessage="1" errorTitle="ZADÁVATE NEPLATNÝ DÁTUM" error="Zadajte dátum z aktuálneho hracieho obdobia." promptTitle="HRACIE OBDOBIE 2025/26" prompt="Zadajte dátumy od 1.7.2025 do 30.6.2026" sqref="E8:L8" xr:uid="{376C5B20-ED27-3342-86F4-E315D31D94BF}">
      <formula1>45870</formula1>
      <formula2>46203</formula2>
    </dataValidation>
    <dataValidation type="whole" allowBlank="1" showInputMessage="1" showErrorMessage="1" errorTitle="CHYBA" error="Hodnota známok môže byť : 1; 2, 3; 4; 5; 6; 7; 8; 9; 10." promptTitle="UPOZORNENIE" prompt="Rozhodcovia sa hodnotia známkami od 1 do 10. Známka 10 je najlepšie hodnotenie. Ak BK hodnotí výkon rozhodcu známkou 4 a menej, je BK povinný hodnotenie písomne zdôvodniť na tomto tlačive." sqref="Y52:Z54" xr:uid="{90F13343-9E6E-7441-824C-C58F2FF2D31F}">
      <formula1>1</formula1>
      <formula2>10</formula2>
    </dataValidation>
    <dataValidation type="whole" allowBlank="1" showInputMessage="1" showErrorMessage="1" errorTitle="CHYBA" error="Zadajte správne číslo zápasu." promptTitle="UPOZORNENIE" prompt="NAJVYŠŠIE SÚŤAŽE - 4 čísla - napr. 1301_x000a_VYŠŠIE SÚŤAŽE - 5 čísel - napr. 22101_x000a_NIŽŠIE SÚŤAŽE - 6 čísel - napr. 120199_x000a_ _x000a_MUŽI - začína sa č. 1 - napr. 1###_x000a_ŽENY - začína sa č. 2 - napr. 2###" sqref="E7:L7" xr:uid="{26A76FE6-01D1-074F-A7B4-F80BFABA226D}">
      <formula1>1000</formula1>
      <formula2>999999</formula2>
    </dataValidation>
    <dataValidation type="whole" operator="greaterThan" allowBlank="1" showInputMessage="1" showErrorMessage="1" errorTitle="CHYBA" error="Zadajte len kladné čísla." sqref="R16:Y35 R36:S36 U36:V36 X36:Y36 E16:F35 H16:I35 N16:O35" xr:uid="{ABE3289C-30D6-449C-A6AB-06AE6F4E7898}">
      <formula1>-1</formula1>
    </dataValidation>
  </dataValidations>
  <pageMargins left="0.23622047244094491" right="0.23622047244094491" top="0.47244094488188981" bottom="0.51181102362204722" header="0.31496062992125984" footer="0.31496062992125984"/>
  <pageSetup paperSize="9"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2FE9B-B227-46D2-9BFF-023D6A682D63}">
  <sheetPr codeName="Hárok2">
    <pageSetUpPr fitToPage="1"/>
  </sheetPr>
  <dimension ref="A1:BE52"/>
  <sheetViews>
    <sheetView zoomScaleNormal="100" workbookViewId="0">
      <selection activeCell="AJ34" sqref="AJ34:AJ47"/>
    </sheetView>
  </sheetViews>
  <sheetFormatPr defaultColWidth="9.1796875" defaultRowHeight="14.5" x14ac:dyDescent="0.35"/>
  <cols>
    <col min="1" max="1" width="4.1796875" style="56" customWidth="1"/>
    <col min="2" max="2" width="5.81640625" style="56" customWidth="1"/>
    <col min="3" max="12" width="2.453125" style="56" customWidth="1"/>
    <col min="13" max="13" width="4.1796875" style="56" customWidth="1"/>
    <col min="14" max="14" width="5.81640625" style="56" customWidth="1"/>
    <col min="15" max="20" width="2.453125" style="56" customWidth="1"/>
    <col min="21" max="28" width="1.453125" style="56" customWidth="1"/>
    <col min="29" max="30" width="2.453125" style="56" customWidth="1"/>
    <col min="31" max="36" width="1.453125" style="56" customWidth="1"/>
    <col min="37" max="45" width="2.453125" style="56" customWidth="1"/>
    <col min="46" max="46" width="4.1796875" style="56" customWidth="1"/>
    <col min="47" max="47" width="5.81640625" style="56" customWidth="1"/>
    <col min="48" max="57" width="2.453125" style="56" customWidth="1"/>
    <col min="58" max="16384" width="9.1796875" style="56"/>
  </cols>
  <sheetData>
    <row r="1" spans="1:57" ht="21.75" customHeight="1" thickBot="1" x14ac:dyDescent="0.4">
      <c r="A1" s="297" t="s">
        <v>68</v>
      </c>
      <c r="B1" s="297"/>
      <c r="C1" s="297"/>
      <c r="D1" s="297"/>
      <c r="E1" s="297"/>
      <c r="F1" s="297"/>
      <c r="G1" s="297"/>
      <c r="H1" s="297"/>
      <c r="I1" s="297"/>
      <c r="J1" s="297"/>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c r="AP1" s="297"/>
      <c r="AQ1" s="297"/>
      <c r="AR1" s="297"/>
      <c r="AS1" s="297"/>
      <c r="AT1" s="297"/>
      <c r="AU1" s="297"/>
      <c r="AV1" s="297"/>
      <c r="AW1" s="297"/>
      <c r="AX1" s="297"/>
      <c r="AY1" s="297"/>
      <c r="AZ1" s="297"/>
      <c r="BA1" s="297"/>
      <c r="BB1" s="297"/>
      <c r="BC1" s="297"/>
      <c r="BD1" s="297"/>
      <c r="BE1" s="297"/>
    </row>
    <row r="2" spans="1:57" ht="15" thickBot="1" x14ac:dyDescent="0.4">
      <c r="A2" s="298" t="s">
        <v>56</v>
      </c>
      <c r="B2" s="299"/>
      <c r="C2" s="299"/>
      <c r="D2" s="299"/>
      <c r="E2" s="299"/>
      <c r="F2" s="299"/>
      <c r="G2" s="299"/>
      <c r="H2" s="299"/>
      <c r="I2" s="299"/>
      <c r="J2" s="299"/>
      <c r="K2" s="299"/>
      <c r="L2" s="300"/>
      <c r="M2" s="298" t="s">
        <v>57</v>
      </c>
      <c r="N2" s="299"/>
      <c r="O2" s="299"/>
      <c r="P2" s="299"/>
      <c r="Q2" s="299"/>
      <c r="R2" s="299"/>
      <c r="S2" s="299" t="s">
        <v>58</v>
      </c>
      <c r="T2" s="299"/>
      <c r="U2" s="299"/>
      <c r="V2" s="299"/>
      <c r="W2" s="299"/>
      <c r="X2" s="299"/>
      <c r="Y2" s="299"/>
      <c r="Z2" s="299"/>
      <c r="AA2" s="299"/>
      <c r="AB2" s="300"/>
      <c r="AC2" s="298" t="s">
        <v>59</v>
      </c>
      <c r="AD2" s="299"/>
      <c r="AE2" s="299"/>
      <c r="AF2" s="299"/>
      <c r="AG2" s="299"/>
      <c r="AH2" s="299"/>
      <c r="AI2" s="299"/>
      <c r="AJ2" s="299"/>
      <c r="AK2" s="299"/>
      <c r="AL2" s="299"/>
      <c r="AM2" s="299"/>
      <c r="AN2" s="299"/>
      <c r="AO2" s="299"/>
      <c r="AP2" s="299"/>
      <c r="AQ2" s="299"/>
      <c r="AR2" s="299"/>
      <c r="AS2" s="300"/>
      <c r="AT2" s="298" t="s">
        <v>60</v>
      </c>
      <c r="AU2" s="299"/>
      <c r="AV2" s="299"/>
      <c r="AW2" s="299"/>
      <c r="AX2" s="299"/>
      <c r="AY2" s="299"/>
      <c r="AZ2" s="299"/>
      <c r="BA2" s="299"/>
      <c r="BB2" s="299"/>
      <c r="BC2" s="299"/>
      <c r="BD2" s="299"/>
      <c r="BE2" s="300"/>
    </row>
    <row r="3" spans="1:57" ht="13.5" customHeight="1" x14ac:dyDescent="0.35">
      <c r="A3" s="57" t="s">
        <v>97</v>
      </c>
      <c r="B3" s="292"/>
      <c r="C3" s="293"/>
      <c r="D3" s="293"/>
      <c r="E3" s="293"/>
      <c r="F3" s="293"/>
      <c r="G3" s="293"/>
      <c r="H3" s="293"/>
      <c r="I3" s="293"/>
      <c r="J3" s="293"/>
      <c r="K3" s="294"/>
      <c r="L3" s="58"/>
      <c r="M3" s="57" t="s">
        <v>97</v>
      </c>
      <c r="N3" s="292"/>
      <c r="O3" s="293"/>
      <c r="P3" s="293"/>
      <c r="Q3" s="293"/>
      <c r="R3" s="293"/>
      <c r="S3" s="293"/>
      <c r="T3" s="293"/>
      <c r="U3" s="293"/>
      <c r="V3" s="293"/>
      <c r="W3" s="293"/>
      <c r="X3" s="293"/>
      <c r="Y3" s="293"/>
      <c r="Z3" s="294"/>
      <c r="AA3" s="292"/>
      <c r="AB3" s="295"/>
      <c r="AC3" s="296" t="s">
        <v>97</v>
      </c>
      <c r="AD3" s="294"/>
      <c r="AE3" s="292"/>
      <c r="AF3" s="293"/>
      <c r="AG3" s="293"/>
      <c r="AH3" s="293"/>
      <c r="AI3" s="293"/>
      <c r="AJ3" s="293"/>
      <c r="AK3" s="293"/>
      <c r="AL3" s="293"/>
      <c r="AM3" s="293"/>
      <c r="AN3" s="293"/>
      <c r="AO3" s="293"/>
      <c r="AP3" s="293"/>
      <c r="AQ3" s="293"/>
      <c r="AR3" s="294"/>
      <c r="AS3" s="58"/>
      <c r="AT3" s="57" t="s">
        <v>97</v>
      </c>
      <c r="AU3" s="292"/>
      <c r="AV3" s="293"/>
      <c r="AW3" s="293"/>
      <c r="AX3" s="293"/>
      <c r="AY3" s="293"/>
      <c r="AZ3" s="293"/>
      <c r="BA3" s="293"/>
      <c r="BB3" s="293"/>
      <c r="BC3" s="293"/>
      <c r="BD3" s="294"/>
      <c r="BE3" s="58"/>
    </row>
    <row r="4" spans="1:57" ht="13.5" customHeight="1" thickBot="1" x14ac:dyDescent="0.4">
      <c r="A4" s="301"/>
      <c r="B4" s="302"/>
      <c r="C4" s="302"/>
      <c r="D4" s="302"/>
      <c r="E4" s="302"/>
      <c r="F4" s="302"/>
      <c r="G4" s="302"/>
      <c r="H4" s="302"/>
      <c r="I4" s="302"/>
      <c r="J4" s="302"/>
      <c r="K4" s="303"/>
      <c r="L4" s="59"/>
      <c r="M4" s="301"/>
      <c r="N4" s="302"/>
      <c r="O4" s="302"/>
      <c r="P4" s="302"/>
      <c r="Q4" s="302"/>
      <c r="R4" s="302"/>
      <c r="S4" s="302"/>
      <c r="T4" s="302"/>
      <c r="U4" s="302"/>
      <c r="V4" s="302"/>
      <c r="W4" s="302"/>
      <c r="X4" s="302"/>
      <c r="Y4" s="302"/>
      <c r="Z4" s="303"/>
      <c r="AA4" s="304"/>
      <c r="AB4" s="305"/>
      <c r="AC4" s="301"/>
      <c r="AD4" s="302"/>
      <c r="AE4" s="302"/>
      <c r="AF4" s="302"/>
      <c r="AG4" s="302"/>
      <c r="AH4" s="302"/>
      <c r="AI4" s="302"/>
      <c r="AJ4" s="302"/>
      <c r="AK4" s="302"/>
      <c r="AL4" s="302"/>
      <c r="AM4" s="302"/>
      <c r="AN4" s="302"/>
      <c r="AO4" s="302"/>
      <c r="AP4" s="302"/>
      <c r="AQ4" s="302"/>
      <c r="AR4" s="303"/>
      <c r="AS4" s="60"/>
      <c r="AT4" s="301"/>
      <c r="AU4" s="302"/>
      <c r="AV4" s="302"/>
      <c r="AW4" s="302"/>
      <c r="AX4" s="302"/>
      <c r="AY4" s="302"/>
      <c r="AZ4" s="302"/>
      <c r="BA4" s="302"/>
      <c r="BB4" s="302"/>
      <c r="BC4" s="302"/>
      <c r="BD4" s="303"/>
      <c r="BE4" s="60"/>
    </row>
    <row r="5" spans="1:57" ht="13.5" customHeight="1" x14ac:dyDescent="0.35">
      <c r="A5" s="57" t="s">
        <v>97</v>
      </c>
      <c r="B5" s="292"/>
      <c r="C5" s="293"/>
      <c r="D5" s="293"/>
      <c r="E5" s="293"/>
      <c r="F5" s="293"/>
      <c r="G5" s="293"/>
      <c r="H5" s="293"/>
      <c r="I5" s="293"/>
      <c r="J5" s="293"/>
      <c r="K5" s="294"/>
      <c r="L5" s="58"/>
      <c r="M5" s="57" t="s">
        <v>97</v>
      </c>
      <c r="N5" s="292"/>
      <c r="O5" s="293"/>
      <c r="P5" s="293"/>
      <c r="Q5" s="293"/>
      <c r="R5" s="293"/>
      <c r="S5" s="293"/>
      <c r="T5" s="293"/>
      <c r="U5" s="293"/>
      <c r="V5" s="293"/>
      <c r="W5" s="293"/>
      <c r="X5" s="293"/>
      <c r="Y5" s="293"/>
      <c r="Z5" s="294"/>
      <c r="AA5" s="292"/>
      <c r="AB5" s="295"/>
      <c r="AC5" s="296" t="s">
        <v>97</v>
      </c>
      <c r="AD5" s="294"/>
      <c r="AE5" s="292"/>
      <c r="AF5" s="293"/>
      <c r="AG5" s="293"/>
      <c r="AH5" s="293"/>
      <c r="AI5" s="293"/>
      <c r="AJ5" s="293"/>
      <c r="AK5" s="293"/>
      <c r="AL5" s="293"/>
      <c r="AM5" s="293"/>
      <c r="AN5" s="293"/>
      <c r="AO5" s="293"/>
      <c r="AP5" s="293"/>
      <c r="AQ5" s="293"/>
      <c r="AR5" s="294"/>
      <c r="AS5" s="58"/>
      <c r="AT5" s="57" t="s">
        <v>97</v>
      </c>
      <c r="AU5" s="292"/>
      <c r="AV5" s="293"/>
      <c r="AW5" s="293"/>
      <c r="AX5" s="293"/>
      <c r="AY5" s="293"/>
      <c r="AZ5" s="293"/>
      <c r="BA5" s="293"/>
      <c r="BB5" s="293"/>
      <c r="BC5" s="293"/>
      <c r="BD5" s="294"/>
      <c r="BE5" s="58"/>
    </row>
    <row r="6" spans="1:57" ht="13.5" customHeight="1" thickBot="1" x14ac:dyDescent="0.4">
      <c r="A6" s="301"/>
      <c r="B6" s="302"/>
      <c r="C6" s="302"/>
      <c r="D6" s="302"/>
      <c r="E6" s="302"/>
      <c r="F6" s="302"/>
      <c r="G6" s="302"/>
      <c r="H6" s="302"/>
      <c r="I6" s="302"/>
      <c r="J6" s="302"/>
      <c r="K6" s="303"/>
      <c r="L6" s="59"/>
      <c r="M6" s="301"/>
      <c r="N6" s="302"/>
      <c r="O6" s="302"/>
      <c r="P6" s="302"/>
      <c r="Q6" s="302"/>
      <c r="R6" s="302"/>
      <c r="S6" s="302"/>
      <c r="T6" s="302"/>
      <c r="U6" s="302"/>
      <c r="V6" s="302"/>
      <c r="W6" s="302"/>
      <c r="X6" s="302"/>
      <c r="Y6" s="302"/>
      <c r="Z6" s="303"/>
      <c r="AA6" s="304"/>
      <c r="AB6" s="305"/>
      <c r="AC6" s="301"/>
      <c r="AD6" s="302"/>
      <c r="AE6" s="302"/>
      <c r="AF6" s="302"/>
      <c r="AG6" s="302"/>
      <c r="AH6" s="302"/>
      <c r="AI6" s="302"/>
      <c r="AJ6" s="302"/>
      <c r="AK6" s="302"/>
      <c r="AL6" s="302"/>
      <c r="AM6" s="302"/>
      <c r="AN6" s="302"/>
      <c r="AO6" s="302"/>
      <c r="AP6" s="302"/>
      <c r="AQ6" s="302"/>
      <c r="AR6" s="303"/>
      <c r="AS6" s="60"/>
      <c r="AT6" s="301"/>
      <c r="AU6" s="302"/>
      <c r="AV6" s="302"/>
      <c r="AW6" s="302"/>
      <c r="AX6" s="302"/>
      <c r="AY6" s="302"/>
      <c r="AZ6" s="302"/>
      <c r="BA6" s="302"/>
      <c r="BB6" s="302"/>
      <c r="BC6" s="302"/>
      <c r="BD6" s="303"/>
      <c r="BE6" s="60"/>
    </row>
    <row r="7" spans="1:57" ht="13.5" customHeight="1" x14ac:dyDescent="0.35">
      <c r="A7" s="57" t="s">
        <v>97</v>
      </c>
      <c r="B7" s="292"/>
      <c r="C7" s="293"/>
      <c r="D7" s="293"/>
      <c r="E7" s="293"/>
      <c r="F7" s="293"/>
      <c r="G7" s="293"/>
      <c r="H7" s="293"/>
      <c r="I7" s="293"/>
      <c r="J7" s="293"/>
      <c r="K7" s="294"/>
      <c r="L7" s="58"/>
      <c r="M7" s="57" t="s">
        <v>97</v>
      </c>
      <c r="N7" s="292"/>
      <c r="O7" s="293"/>
      <c r="P7" s="293"/>
      <c r="Q7" s="293"/>
      <c r="R7" s="293"/>
      <c r="S7" s="293"/>
      <c r="T7" s="293"/>
      <c r="U7" s="293"/>
      <c r="V7" s="293"/>
      <c r="W7" s="293"/>
      <c r="X7" s="293"/>
      <c r="Y7" s="293"/>
      <c r="Z7" s="294"/>
      <c r="AA7" s="292"/>
      <c r="AB7" s="295"/>
      <c r="AC7" s="296" t="s">
        <v>97</v>
      </c>
      <c r="AD7" s="294"/>
      <c r="AE7" s="292"/>
      <c r="AF7" s="293"/>
      <c r="AG7" s="293"/>
      <c r="AH7" s="293"/>
      <c r="AI7" s="293"/>
      <c r="AJ7" s="293"/>
      <c r="AK7" s="293"/>
      <c r="AL7" s="293"/>
      <c r="AM7" s="293"/>
      <c r="AN7" s="293"/>
      <c r="AO7" s="293"/>
      <c r="AP7" s="293"/>
      <c r="AQ7" s="293"/>
      <c r="AR7" s="294"/>
      <c r="AS7" s="58"/>
      <c r="AT7" s="57" t="s">
        <v>97</v>
      </c>
      <c r="AU7" s="292"/>
      <c r="AV7" s="293"/>
      <c r="AW7" s="293"/>
      <c r="AX7" s="293"/>
      <c r="AY7" s="293"/>
      <c r="AZ7" s="293"/>
      <c r="BA7" s="293"/>
      <c r="BB7" s="293"/>
      <c r="BC7" s="293"/>
      <c r="BD7" s="294"/>
      <c r="BE7" s="58"/>
    </row>
    <row r="8" spans="1:57" ht="13.5" customHeight="1" thickBot="1" x14ac:dyDescent="0.4">
      <c r="A8" s="301"/>
      <c r="B8" s="302"/>
      <c r="C8" s="302"/>
      <c r="D8" s="302"/>
      <c r="E8" s="302"/>
      <c r="F8" s="302"/>
      <c r="G8" s="302"/>
      <c r="H8" s="302"/>
      <c r="I8" s="302"/>
      <c r="J8" s="302"/>
      <c r="K8" s="303"/>
      <c r="L8" s="59"/>
      <c r="M8" s="301"/>
      <c r="N8" s="302"/>
      <c r="O8" s="302"/>
      <c r="P8" s="302"/>
      <c r="Q8" s="302"/>
      <c r="R8" s="302"/>
      <c r="S8" s="302"/>
      <c r="T8" s="302"/>
      <c r="U8" s="302"/>
      <c r="V8" s="302"/>
      <c r="W8" s="302"/>
      <c r="X8" s="302"/>
      <c r="Y8" s="302"/>
      <c r="Z8" s="303"/>
      <c r="AA8" s="304"/>
      <c r="AB8" s="305"/>
      <c r="AC8" s="301"/>
      <c r="AD8" s="302"/>
      <c r="AE8" s="302"/>
      <c r="AF8" s="302"/>
      <c r="AG8" s="302"/>
      <c r="AH8" s="302"/>
      <c r="AI8" s="302"/>
      <c r="AJ8" s="302"/>
      <c r="AK8" s="302"/>
      <c r="AL8" s="302"/>
      <c r="AM8" s="302"/>
      <c r="AN8" s="302"/>
      <c r="AO8" s="302"/>
      <c r="AP8" s="302"/>
      <c r="AQ8" s="302"/>
      <c r="AR8" s="303"/>
      <c r="AS8" s="60"/>
      <c r="AT8" s="301"/>
      <c r="AU8" s="302"/>
      <c r="AV8" s="302"/>
      <c r="AW8" s="302"/>
      <c r="AX8" s="302"/>
      <c r="AY8" s="302"/>
      <c r="AZ8" s="302"/>
      <c r="BA8" s="302"/>
      <c r="BB8" s="302"/>
      <c r="BC8" s="302"/>
      <c r="BD8" s="303"/>
      <c r="BE8" s="60"/>
    </row>
    <row r="9" spans="1:57" ht="13.5" customHeight="1" x14ac:dyDescent="0.35">
      <c r="A9" s="57" t="s">
        <v>98</v>
      </c>
      <c r="B9" s="292"/>
      <c r="C9" s="293"/>
      <c r="D9" s="293"/>
      <c r="E9" s="293"/>
      <c r="F9" s="293"/>
      <c r="G9" s="293"/>
      <c r="H9" s="293"/>
      <c r="I9" s="293"/>
      <c r="J9" s="293"/>
      <c r="K9" s="294"/>
      <c r="L9" s="58"/>
      <c r="M9" s="57" t="s">
        <v>98</v>
      </c>
      <c r="N9" s="292"/>
      <c r="O9" s="293"/>
      <c r="P9" s="293"/>
      <c r="Q9" s="293"/>
      <c r="R9" s="293"/>
      <c r="S9" s="293"/>
      <c r="T9" s="293"/>
      <c r="U9" s="293"/>
      <c r="V9" s="293"/>
      <c r="W9" s="293"/>
      <c r="X9" s="293"/>
      <c r="Y9" s="293"/>
      <c r="Z9" s="294"/>
      <c r="AA9" s="292"/>
      <c r="AB9" s="295"/>
      <c r="AC9" s="296" t="s">
        <v>98</v>
      </c>
      <c r="AD9" s="294"/>
      <c r="AE9" s="292"/>
      <c r="AF9" s="293"/>
      <c r="AG9" s="293"/>
      <c r="AH9" s="293"/>
      <c r="AI9" s="293"/>
      <c r="AJ9" s="293"/>
      <c r="AK9" s="293"/>
      <c r="AL9" s="293"/>
      <c r="AM9" s="293"/>
      <c r="AN9" s="293"/>
      <c r="AO9" s="293"/>
      <c r="AP9" s="293"/>
      <c r="AQ9" s="293"/>
      <c r="AR9" s="294"/>
      <c r="AS9" s="58"/>
      <c r="AT9" s="57" t="s">
        <v>98</v>
      </c>
      <c r="AU9" s="292"/>
      <c r="AV9" s="293"/>
      <c r="AW9" s="293"/>
      <c r="AX9" s="293"/>
      <c r="AY9" s="293"/>
      <c r="AZ9" s="293"/>
      <c r="BA9" s="293"/>
      <c r="BB9" s="293"/>
      <c r="BC9" s="293"/>
      <c r="BD9" s="294"/>
      <c r="BE9" s="58"/>
    </row>
    <row r="10" spans="1:57" ht="13.5" customHeight="1" thickBot="1" x14ac:dyDescent="0.4">
      <c r="A10" s="301"/>
      <c r="B10" s="302"/>
      <c r="C10" s="302"/>
      <c r="D10" s="302"/>
      <c r="E10" s="302"/>
      <c r="F10" s="302"/>
      <c r="G10" s="302"/>
      <c r="H10" s="302"/>
      <c r="I10" s="302"/>
      <c r="J10" s="302"/>
      <c r="K10" s="303"/>
      <c r="L10" s="59"/>
      <c r="M10" s="301"/>
      <c r="N10" s="302"/>
      <c r="O10" s="302"/>
      <c r="P10" s="302"/>
      <c r="Q10" s="302"/>
      <c r="R10" s="302"/>
      <c r="S10" s="302"/>
      <c r="T10" s="302"/>
      <c r="U10" s="302"/>
      <c r="V10" s="302"/>
      <c r="W10" s="302"/>
      <c r="X10" s="302"/>
      <c r="Y10" s="302"/>
      <c r="Z10" s="303"/>
      <c r="AA10" s="304"/>
      <c r="AB10" s="305"/>
      <c r="AC10" s="301"/>
      <c r="AD10" s="302"/>
      <c r="AE10" s="302"/>
      <c r="AF10" s="302"/>
      <c r="AG10" s="302"/>
      <c r="AH10" s="302"/>
      <c r="AI10" s="302"/>
      <c r="AJ10" s="302"/>
      <c r="AK10" s="302"/>
      <c r="AL10" s="302"/>
      <c r="AM10" s="302"/>
      <c r="AN10" s="302"/>
      <c r="AO10" s="302"/>
      <c r="AP10" s="302"/>
      <c r="AQ10" s="302"/>
      <c r="AR10" s="303"/>
      <c r="AS10" s="60"/>
      <c r="AT10" s="301"/>
      <c r="AU10" s="302"/>
      <c r="AV10" s="302"/>
      <c r="AW10" s="302"/>
      <c r="AX10" s="302"/>
      <c r="AY10" s="302"/>
      <c r="AZ10" s="302"/>
      <c r="BA10" s="302"/>
      <c r="BB10" s="302"/>
      <c r="BC10" s="302"/>
      <c r="BD10" s="303"/>
      <c r="BE10" s="60"/>
    </row>
    <row r="11" spans="1:57" ht="13.5" customHeight="1" x14ac:dyDescent="0.35">
      <c r="A11" s="57" t="s">
        <v>98</v>
      </c>
      <c r="B11" s="292"/>
      <c r="C11" s="293"/>
      <c r="D11" s="293"/>
      <c r="E11" s="293"/>
      <c r="F11" s="293"/>
      <c r="G11" s="293"/>
      <c r="H11" s="293"/>
      <c r="I11" s="293"/>
      <c r="J11" s="293"/>
      <c r="K11" s="294"/>
      <c r="L11" s="58"/>
      <c r="M11" s="57" t="s">
        <v>98</v>
      </c>
      <c r="N11" s="292"/>
      <c r="O11" s="293"/>
      <c r="P11" s="293"/>
      <c r="Q11" s="293"/>
      <c r="R11" s="293"/>
      <c r="S11" s="293"/>
      <c r="T11" s="293"/>
      <c r="U11" s="293"/>
      <c r="V11" s="293"/>
      <c r="W11" s="293"/>
      <c r="X11" s="293"/>
      <c r="Y11" s="293"/>
      <c r="Z11" s="294"/>
      <c r="AA11" s="292"/>
      <c r="AB11" s="295"/>
      <c r="AC11" s="296" t="s">
        <v>98</v>
      </c>
      <c r="AD11" s="294"/>
      <c r="AE11" s="292"/>
      <c r="AF11" s="293"/>
      <c r="AG11" s="293"/>
      <c r="AH11" s="293"/>
      <c r="AI11" s="293"/>
      <c r="AJ11" s="293"/>
      <c r="AK11" s="293"/>
      <c r="AL11" s="293"/>
      <c r="AM11" s="293"/>
      <c r="AN11" s="293"/>
      <c r="AO11" s="293"/>
      <c r="AP11" s="293"/>
      <c r="AQ11" s="293"/>
      <c r="AR11" s="294"/>
      <c r="AS11" s="58"/>
      <c r="AT11" s="57" t="s">
        <v>98</v>
      </c>
      <c r="AU11" s="292"/>
      <c r="AV11" s="293"/>
      <c r="AW11" s="293"/>
      <c r="AX11" s="293"/>
      <c r="AY11" s="293"/>
      <c r="AZ11" s="293"/>
      <c r="BA11" s="293"/>
      <c r="BB11" s="293"/>
      <c r="BC11" s="293"/>
      <c r="BD11" s="294"/>
      <c r="BE11" s="58"/>
    </row>
    <row r="12" spans="1:57" ht="12.75" customHeight="1" thickBot="1" x14ac:dyDescent="0.4">
      <c r="A12" s="301"/>
      <c r="B12" s="302"/>
      <c r="C12" s="302"/>
      <c r="D12" s="302"/>
      <c r="E12" s="302"/>
      <c r="F12" s="302"/>
      <c r="G12" s="302"/>
      <c r="H12" s="302"/>
      <c r="I12" s="302"/>
      <c r="J12" s="302"/>
      <c r="K12" s="303"/>
      <c r="L12" s="59"/>
      <c r="M12" s="301"/>
      <c r="N12" s="302"/>
      <c r="O12" s="302"/>
      <c r="P12" s="302"/>
      <c r="Q12" s="302"/>
      <c r="R12" s="302"/>
      <c r="S12" s="302"/>
      <c r="T12" s="302"/>
      <c r="U12" s="302"/>
      <c r="V12" s="302"/>
      <c r="W12" s="302"/>
      <c r="X12" s="302"/>
      <c r="Y12" s="302"/>
      <c r="Z12" s="303"/>
      <c r="AA12" s="304"/>
      <c r="AB12" s="305"/>
      <c r="AC12" s="301"/>
      <c r="AD12" s="302"/>
      <c r="AE12" s="302"/>
      <c r="AF12" s="302"/>
      <c r="AG12" s="302"/>
      <c r="AH12" s="302"/>
      <c r="AI12" s="302"/>
      <c r="AJ12" s="302"/>
      <c r="AK12" s="302"/>
      <c r="AL12" s="302"/>
      <c r="AM12" s="302"/>
      <c r="AN12" s="302"/>
      <c r="AO12" s="302"/>
      <c r="AP12" s="302"/>
      <c r="AQ12" s="302"/>
      <c r="AR12" s="303"/>
      <c r="AS12" s="60"/>
      <c r="AT12" s="301"/>
      <c r="AU12" s="302"/>
      <c r="AV12" s="302"/>
      <c r="AW12" s="302"/>
      <c r="AX12" s="302"/>
      <c r="AY12" s="302"/>
      <c r="AZ12" s="302"/>
      <c r="BA12" s="302"/>
      <c r="BB12" s="302"/>
      <c r="BC12" s="302"/>
      <c r="BD12" s="303"/>
      <c r="BE12" s="60"/>
    </row>
    <row r="13" spans="1:57" ht="12.75" customHeight="1" x14ac:dyDescent="0.35">
      <c r="A13" s="57" t="s">
        <v>98</v>
      </c>
      <c r="B13" s="292"/>
      <c r="C13" s="293"/>
      <c r="D13" s="293"/>
      <c r="E13" s="293"/>
      <c r="F13" s="293"/>
      <c r="G13" s="293"/>
      <c r="H13" s="293"/>
      <c r="I13" s="293"/>
      <c r="J13" s="293"/>
      <c r="K13" s="294"/>
      <c r="L13" s="58"/>
      <c r="M13" s="57" t="s">
        <v>98</v>
      </c>
      <c r="N13" s="292"/>
      <c r="O13" s="293"/>
      <c r="P13" s="293"/>
      <c r="Q13" s="293"/>
      <c r="R13" s="293"/>
      <c r="S13" s="293"/>
      <c r="T13" s="293"/>
      <c r="U13" s="293"/>
      <c r="V13" s="293"/>
      <c r="W13" s="293"/>
      <c r="X13" s="293"/>
      <c r="Y13" s="293"/>
      <c r="Z13" s="294"/>
      <c r="AA13" s="292"/>
      <c r="AB13" s="295"/>
      <c r="AC13" s="296" t="s">
        <v>98</v>
      </c>
      <c r="AD13" s="294"/>
      <c r="AE13" s="292"/>
      <c r="AF13" s="293"/>
      <c r="AG13" s="293"/>
      <c r="AH13" s="293"/>
      <c r="AI13" s="293"/>
      <c r="AJ13" s="293"/>
      <c r="AK13" s="293"/>
      <c r="AL13" s="293"/>
      <c r="AM13" s="293"/>
      <c r="AN13" s="293"/>
      <c r="AO13" s="293"/>
      <c r="AP13" s="293"/>
      <c r="AQ13" s="293"/>
      <c r="AR13" s="294"/>
      <c r="AS13" s="58"/>
      <c r="AT13" s="57" t="s">
        <v>98</v>
      </c>
      <c r="AU13" s="292"/>
      <c r="AV13" s="293"/>
      <c r="AW13" s="293"/>
      <c r="AX13" s="293"/>
      <c r="AY13" s="293"/>
      <c r="AZ13" s="293"/>
      <c r="BA13" s="293"/>
      <c r="BB13" s="293"/>
      <c r="BC13" s="293"/>
      <c r="BD13" s="294"/>
      <c r="BE13" s="58"/>
    </row>
    <row r="14" spans="1:57" ht="12.75" customHeight="1" thickBot="1" x14ac:dyDescent="0.4">
      <c r="A14" s="301"/>
      <c r="B14" s="302"/>
      <c r="C14" s="302"/>
      <c r="D14" s="302"/>
      <c r="E14" s="302"/>
      <c r="F14" s="302"/>
      <c r="G14" s="302"/>
      <c r="H14" s="302"/>
      <c r="I14" s="302"/>
      <c r="J14" s="302"/>
      <c r="K14" s="303"/>
      <c r="L14" s="59"/>
      <c r="M14" s="301"/>
      <c r="N14" s="302"/>
      <c r="O14" s="302"/>
      <c r="P14" s="302"/>
      <c r="Q14" s="302"/>
      <c r="R14" s="302"/>
      <c r="S14" s="302"/>
      <c r="T14" s="302"/>
      <c r="U14" s="302"/>
      <c r="V14" s="302"/>
      <c r="W14" s="302"/>
      <c r="X14" s="302"/>
      <c r="Y14" s="302"/>
      <c r="Z14" s="303"/>
      <c r="AA14" s="304"/>
      <c r="AB14" s="305"/>
      <c r="AC14" s="301"/>
      <c r="AD14" s="302"/>
      <c r="AE14" s="302"/>
      <c r="AF14" s="302"/>
      <c r="AG14" s="302"/>
      <c r="AH14" s="302"/>
      <c r="AI14" s="302"/>
      <c r="AJ14" s="302"/>
      <c r="AK14" s="302"/>
      <c r="AL14" s="302"/>
      <c r="AM14" s="302"/>
      <c r="AN14" s="302"/>
      <c r="AO14" s="302"/>
      <c r="AP14" s="302"/>
      <c r="AQ14" s="302"/>
      <c r="AR14" s="303"/>
      <c r="AS14" s="60"/>
      <c r="AT14" s="301"/>
      <c r="AU14" s="302"/>
      <c r="AV14" s="302"/>
      <c r="AW14" s="302"/>
      <c r="AX14" s="302"/>
      <c r="AY14" s="302"/>
      <c r="AZ14" s="302"/>
      <c r="BA14" s="302"/>
      <c r="BB14" s="302"/>
      <c r="BC14" s="302"/>
      <c r="BD14" s="303"/>
      <c r="BE14" s="60"/>
    </row>
    <row r="15" spans="1:57" ht="12.75" customHeight="1" thickBot="1" x14ac:dyDescent="0.4">
      <c r="A15" s="140"/>
      <c r="B15" s="141"/>
      <c r="C15" s="141"/>
      <c r="D15" s="141"/>
      <c r="E15" s="141"/>
      <c r="F15" s="141"/>
      <c r="G15" s="311" t="s">
        <v>69</v>
      </c>
      <c r="H15" s="311"/>
      <c r="I15" s="311"/>
      <c r="J15" s="311"/>
      <c r="K15" s="311"/>
      <c r="L15" s="312"/>
      <c r="M15" s="322" t="s">
        <v>72</v>
      </c>
      <c r="N15" s="311"/>
      <c r="O15" s="311"/>
      <c r="P15" s="142"/>
      <c r="Q15" s="142"/>
      <c r="R15" s="142"/>
      <c r="S15" s="142"/>
      <c r="T15" s="311" t="s">
        <v>73</v>
      </c>
      <c r="U15" s="311"/>
      <c r="V15" s="311"/>
      <c r="W15" s="311"/>
      <c r="X15" s="311"/>
      <c r="Y15" s="311"/>
      <c r="Z15" s="311"/>
      <c r="AA15" s="311"/>
      <c r="AB15" s="312"/>
      <c r="AC15" s="323" t="s">
        <v>74</v>
      </c>
      <c r="AD15" s="324"/>
      <c r="AE15" s="324"/>
      <c r="AF15" s="324"/>
      <c r="AG15" s="324"/>
      <c r="AH15" s="324"/>
      <c r="AI15" s="324"/>
      <c r="AJ15" s="142"/>
      <c r="AK15" s="142"/>
      <c r="AL15" s="142"/>
      <c r="AM15" s="142"/>
      <c r="AN15" s="311" t="s">
        <v>71</v>
      </c>
      <c r="AO15" s="311"/>
      <c r="AP15" s="311"/>
      <c r="AQ15" s="311"/>
      <c r="AR15" s="311"/>
      <c r="AS15" s="312"/>
      <c r="AT15" s="322" t="s">
        <v>70</v>
      </c>
      <c r="AU15" s="311"/>
      <c r="AV15" s="311"/>
      <c r="AW15" s="142"/>
      <c r="AX15" s="142"/>
      <c r="AY15" s="142"/>
      <c r="AZ15" s="311" t="s">
        <v>61</v>
      </c>
      <c r="BA15" s="311"/>
      <c r="BB15" s="311"/>
      <c r="BC15" s="311"/>
      <c r="BD15" s="311"/>
      <c r="BE15" s="312"/>
    </row>
    <row r="16" spans="1:57" ht="15" thickBot="1" x14ac:dyDescent="0.4">
      <c r="A16" s="313"/>
      <c r="B16" s="314"/>
      <c r="C16" s="314"/>
      <c r="D16" s="314"/>
      <c r="E16" s="314"/>
      <c r="F16" s="314"/>
      <c r="G16" s="314"/>
      <c r="H16" s="315"/>
      <c r="I16" s="316" t="s">
        <v>22</v>
      </c>
      <c r="J16" s="317"/>
      <c r="K16" s="317"/>
      <c r="L16" s="318"/>
      <c r="M16" s="319" t="s">
        <v>22</v>
      </c>
      <c r="N16" s="320"/>
      <c r="O16" s="61"/>
      <c r="P16" s="61"/>
      <c r="Q16" s="61"/>
      <c r="R16" s="61"/>
      <c r="S16" s="61"/>
      <c r="T16" s="61"/>
      <c r="U16" s="319" t="s">
        <v>22</v>
      </c>
      <c r="V16" s="321"/>
      <c r="W16" s="321"/>
      <c r="X16" s="321"/>
      <c r="Y16" s="321"/>
      <c r="Z16" s="321"/>
      <c r="AA16" s="321"/>
      <c r="AB16" s="320"/>
      <c r="AC16" s="319" t="s">
        <v>22</v>
      </c>
      <c r="AD16" s="321"/>
      <c r="AE16" s="321"/>
      <c r="AF16" s="321"/>
      <c r="AG16" s="321"/>
      <c r="AH16" s="321"/>
      <c r="AI16" s="320"/>
      <c r="AJ16" s="61"/>
      <c r="AK16" s="61"/>
      <c r="AL16" s="61"/>
      <c r="AM16" s="61"/>
      <c r="AN16" s="61"/>
      <c r="AO16" s="61"/>
      <c r="AP16" s="319" t="s">
        <v>22</v>
      </c>
      <c r="AQ16" s="321"/>
      <c r="AR16" s="321"/>
      <c r="AS16" s="320"/>
      <c r="AT16" s="319" t="s">
        <v>22</v>
      </c>
      <c r="AU16" s="320"/>
      <c r="AV16" s="61"/>
      <c r="AW16" s="61"/>
      <c r="AX16" s="61"/>
      <c r="AY16" s="61"/>
      <c r="AZ16" s="61"/>
      <c r="BA16" s="61"/>
      <c r="BB16" s="319" t="s">
        <v>22</v>
      </c>
      <c r="BC16" s="321"/>
      <c r="BD16" s="321"/>
      <c r="BE16" s="320"/>
    </row>
    <row r="17" spans="1:57" ht="12.75" customHeight="1" x14ac:dyDescent="0.35">
      <c r="A17" s="163" t="s">
        <v>12</v>
      </c>
      <c r="B17" s="306"/>
      <c r="C17" s="306"/>
      <c r="D17" s="306"/>
      <c r="E17" s="306"/>
      <c r="F17" s="306"/>
      <c r="G17" s="306"/>
      <c r="H17" s="306"/>
      <c r="I17" s="306"/>
      <c r="J17" s="306"/>
      <c r="K17" s="306"/>
      <c r="L17" s="161"/>
      <c r="M17" s="163" t="s">
        <v>12</v>
      </c>
      <c r="N17" s="307"/>
      <c r="O17" s="307"/>
      <c r="P17" s="307"/>
      <c r="Q17" s="307"/>
      <c r="R17" s="307"/>
      <c r="S17" s="307"/>
      <c r="T17" s="307"/>
      <c r="U17" s="307"/>
      <c r="V17" s="307"/>
      <c r="W17" s="307"/>
      <c r="X17" s="307"/>
      <c r="Y17" s="307"/>
      <c r="Z17" s="307"/>
      <c r="AA17" s="307"/>
      <c r="AB17" s="308"/>
      <c r="AC17" s="309" t="s">
        <v>12</v>
      </c>
      <c r="AD17" s="310"/>
      <c r="AE17" s="307"/>
      <c r="AF17" s="307"/>
      <c r="AG17" s="307"/>
      <c r="AH17" s="307"/>
      <c r="AI17" s="307"/>
      <c r="AJ17" s="307"/>
      <c r="AK17" s="307"/>
      <c r="AL17" s="307"/>
      <c r="AM17" s="307"/>
      <c r="AN17" s="307"/>
      <c r="AO17" s="307"/>
      <c r="AP17" s="307"/>
      <c r="AQ17" s="307"/>
      <c r="AR17" s="307"/>
      <c r="AS17" s="62"/>
      <c r="AT17" s="163" t="s">
        <v>12</v>
      </c>
      <c r="AU17" s="307"/>
      <c r="AV17" s="307"/>
      <c r="AW17" s="307"/>
      <c r="AX17" s="307"/>
      <c r="AY17" s="307"/>
      <c r="AZ17" s="307"/>
      <c r="BA17" s="307"/>
      <c r="BB17" s="307"/>
      <c r="BC17" s="307"/>
      <c r="BD17" s="307"/>
      <c r="BE17" s="62"/>
    </row>
    <row r="18" spans="1:57" ht="12.75" customHeight="1" x14ac:dyDescent="0.35">
      <c r="A18" s="63" t="s">
        <v>13</v>
      </c>
      <c r="B18" s="325"/>
      <c r="C18" s="325"/>
      <c r="D18" s="325"/>
      <c r="E18" s="325"/>
      <c r="F18" s="325"/>
      <c r="G18" s="325"/>
      <c r="H18" s="325"/>
      <c r="I18" s="325"/>
      <c r="J18" s="325"/>
      <c r="K18" s="325"/>
      <c r="L18" s="64"/>
      <c r="M18" s="63" t="s">
        <v>13</v>
      </c>
      <c r="N18" s="325"/>
      <c r="O18" s="325"/>
      <c r="P18" s="325"/>
      <c r="Q18" s="325"/>
      <c r="R18" s="325"/>
      <c r="S18" s="325"/>
      <c r="T18" s="325"/>
      <c r="U18" s="325"/>
      <c r="V18" s="325"/>
      <c r="W18" s="325"/>
      <c r="X18" s="325"/>
      <c r="Y18" s="325"/>
      <c r="Z18" s="325"/>
      <c r="AA18" s="325"/>
      <c r="AB18" s="326"/>
      <c r="AC18" s="327" t="s">
        <v>13</v>
      </c>
      <c r="AD18" s="328"/>
      <c r="AE18" s="325"/>
      <c r="AF18" s="325"/>
      <c r="AG18" s="325"/>
      <c r="AH18" s="325"/>
      <c r="AI18" s="325"/>
      <c r="AJ18" s="325"/>
      <c r="AK18" s="325"/>
      <c r="AL18" s="325"/>
      <c r="AM18" s="325"/>
      <c r="AN18" s="325"/>
      <c r="AO18" s="325"/>
      <c r="AP18" s="325"/>
      <c r="AQ18" s="325"/>
      <c r="AR18" s="325"/>
      <c r="AS18" s="64"/>
      <c r="AT18" s="63" t="s">
        <v>13</v>
      </c>
      <c r="AU18" s="325"/>
      <c r="AV18" s="325"/>
      <c r="AW18" s="325"/>
      <c r="AX18" s="325"/>
      <c r="AY18" s="325"/>
      <c r="AZ18" s="325"/>
      <c r="BA18" s="325"/>
      <c r="BB18" s="325"/>
      <c r="BC18" s="325"/>
      <c r="BD18" s="325"/>
      <c r="BE18" s="64"/>
    </row>
    <row r="19" spans="1:57" ht="12.75" customHeight="1" x14ac:dyDescent="0.35">
      <c r="A19" s="63" t="s">
        <v>14</v>
      </c>
      <c r="B19" s="325"/>
      <c r="C19" s="325"/>
      <c r="D19" s="325"/>
      <c r="E19" s="325"/>
      <c r="F19" s="325"/>
      <c r="G19" s="325"/>
      <c r="H19" s="325"/>
      <c r="I19" s="325"/>
      <c r="J19" s="325"/>
      <c r="K19" s="325"/>
      <c r="L19" s="64"/>
      <c r="M19" s="63" t="s">
        <v>14</v>
      </c>
      <c r="N19" s="325"/>
      <c r="O19" s="325"/>
      <c r="P19" s="325"/>
      <c r="Q19" s="325"/>
      <c r="R19" s="325"/>
      <c r="S19" s="325"/>
      <c r="T19" s="325"/>
      <c r="U19" s="325"/>
      <c r="V19" s="325"/>
      <c r="W19" s="325"/>
      <c r="X19" s="325"/>
      <c r="Y19" s="325"/>
      <c r="Z19" s="325"/>
      <c r="AA19" s="325"/>
      <c r="AB19" s="326"/>
      <c r="AC19" s="327" t="s">
        <v>14</v>
      </c>
      <c r="AD19" s="328"/>
      <c r="AE19" s="325"/>
      <c r="AF19" s="325"/>
      <c r="AG19" s="325"/>
      <c r="AH19" s="325"/>
      <c r="AI19" s="325"/>
      <c r="AJ19" s="325"/>
      <c r="AK19" s="325"/>
      <c r="AL19" s="325"/>
      <c r="AM19" s="325"/>
      <c r="AN19" s="325"/>
      <c r="AO19" s="325"/>
      <c r="AP19" s="325"/>
      <c r="AQ19" s="325"/>
      <c r="AR19" s="325"/>
      <c r="AS19" s="64"/>
      <c r="AT19" s="63" t="s">
        <v>14</v>
      </c>
      <c r="AU19" s="325"/>
      <c r="AV19" s="325"/>
      <c r="AW19" s="325"/>
      <c r="AX19" s="325"/>
      <c r="AY19" s="325"/>
      <c r="AZ19" s="325"/>
      <c r="BA19" s="325"/>
      <c r="BB19" s="325"/>
      <c r="BC19" s="325"/>
      <c r="BD19" s="325"/>
      <c r="BE19" s="64"/>
    </row>
    <row r="20" spans="1:57" ht="12.75" customHeight="1" x14ac:dyDescent="0.35">
      <c r="A20" s="63" t="s">
        <v>15</v>
      </c>
      <c r="B20" s="325"/>
      <c r="C20" s="325"/>
      <c r="D20" s="325"/>
      <c r="E20" s="325"/>
      <c r="F20" s="325"/>
      <c r="G20" s="325"/>
      <c r="H20" s="325"/>
      <c r="I20" s="325"/>
      <c r="J20" s="325"/>
      <c r="K20" s="325"/>
      <c r="L20" s="64"/>
      <c r="M20" s="63" t="s">
        <v>15</v>
      </c>
      <c r="N20" s="325"/>
      <c r="O20" s="325"/>
      <c r="P20" s="325"/>
      <c r="Q20" s="325"/>
      <c r="R20" s="325"/>
      <c r="S20" s="325"/>
      <c r="T20" s="325"/>
      <c r="U20" s="325"/>
      <c r="V20" s="325"/>
      <c r="W20" s="325"/>
      <c r="X20" s="325"/>
      <c r="Y20" s="325"/>
      <c r="Z20" s="325"/>
      <c r="AA20" s="325"/>
      <c r="AB20" s="326"/>
      <c r="AC20" s="327" t="s">
        <v>15</v>
      </c>
      <c r="AD20" s="328"/>
      <c r="AE20" s="325"/>
      <c r="AF20" s="325"/>
      <c r="AG20" s="325"/>
      <c r="AH20" s="325"/>
      <c r="AI20" s="325"/>
      <c r="AJ20" s="325"/>
      <c r="AK20" s="325"/>
      <c r="AL20" s="325"/>
      <c r="AM20" s="325"/>
      <c r="AN20" s="325"/>
      <c r="AO20" s="325"/>
      <c r="AP20" s="325"/>
      <c r="AQ20" s="325"/>
      <c r="AR20" s="325"/>
      <c r="AS20" s="64"/>
      <c r="AT20" s="63" t="s">
        <v>15</v>
      </c>
      <c r="AU20" s="325"/>
      <c r="AV20" s="325"/>
      <c r="AW20" s="325"/>
      <c r="AX20" s="325"/>
      <c r="AY20" s="325"/>
      <c r="AZ20" s="325"/>
      <c r="BA20" s="325"/>
      <c r="BB20" s="325"/>
      <c r="BC20" s="325"/>
      <c r="BD20" s="325"/>
      <c r="BE20" s="64"/>
    </row>
    <row r="21" spans="1:57" ht="12.75" customHeight="1" x14ac:dyDescent="0.35">
      <c r="A21" s="63" t="s">
        <v>16</v>
      </c>
      <c r="B21" s="325"/>
      <c r="C21" s="325"/>
      <c r="D21" s="325"/>
      <c r="E21" s="325"/>
      <c r="F21" s="325"/>
      <c r="G21" s="325"/>
      <c r="H21" s="325"/>
      <c r="I21" s="325"/>
      <c r="J21" s="325"/>
      <c r="K21" s="325"/>
      <c r="L21" s="64"/>
      <c r="M21" s="63" t="s">
        <v>16</v>
      </c>
      <c r="N21" s="325"/>
      <c r="O21" s="325"/>
      <c r="P21" s="325"/>
      <c r="Q21" s="325"/>
      <c r="R21" s="325"/>
      <c r="S21" s="325"/>
      <c r="T21" s="325"/>
      <c r="U21" s="325"/>
      <c r="V21" s="325"/>
      <c r="W21" s="325"/>
      <c r="X21" s="325"/>
      <c r="Y21" s="325"/>
      <c r="Z21" s="325"/>
      <c r="AA21" s="325"/>
      <c r="AB21" s="326"/>
      <c r="AC21" s="327" t="s">
        <v>16</v>
      </c>
      <c r="AD21" s="328"/>
      <c r="AE21" s="325"/>
      <c r="AF21" s="325"/>
      <c r="AG21" s="325"/>
      <c r="AH21" s="325"/>
      <c r="AI21" s="325"/>
      <c r="AJ21" s="325"/>
      <c r="AK21" s="325"/>
      <c r="AL21" s="325"/>
      <c r="AM21" s="325"/>
      <c r="AN21" s="325"/>
      <c r="AO21" s="325"/>
      <c r="AP21" s="325"/>
      <c r="AQ21" s="325"/>
      <c r="AR21" s="325"/>
      <c r="AS21" s="64"/>
      <c r="AT21" s="63" t="s">
        <v>16</v>
      </c>
      <c r="AU21" s="325"/>
      <c r="AV21" s="325"/>
      <c r="AW21" s="325"/>
      <c r="AX21" s="325"/>
      <c r="AY21" s="325"/>
      <c r="AZ21" s="325"/>
      <c r="BA21" s="325"/>
      <c r="BB21" s="325"/>
      <c r="BC21" s="325"/>
      <c r="BD21" s="325"/>
      <c r="BE21" s="64"/>
    </row>
    <row r="22" spans="1:57" ht="12.75" customHeight="1" x14ac:dyDescent="0.35">
      <c r="A22" s="162" t="s">
        <v>17</v>
      </c>
      <c r="B22" s="325"/>
      <c r="C22" s="325"/>
      <c r="D22" s="325"/>
      <c r="E22" s="325"/>
      <c r="F22" s="325"/>
      <c r="G22" s="325"/>
      <c r="H22" s="325"/>
      <c r="I22" s="325"/>
      <c r="J22" s="325"/>
      <c r="K22" s="325"/>
      <c r="L22" s="64"/>
      <c r="M22" s="162" t="s">
        <v>17</v>
      </c>
      <c r="N22" s="325"/>
      <c r="O22" s="325"/>
      <c r="P22" s="325"/>
      <c r="Q22" s="325"/>
      <c r="R22" s="325"/>
      <c r="S22" s="325"/>
      <c r="T22" s="325"/>
      <c r="U22" s="325"/>
      <c r="V22" s="325"/>
      <c r="W22" s="325"/>
      <c r="X22" s="325"/>
      <c r="Y22" s="325"/>
      <c r="Z22" s="325"/>
      <c r="AA22" s="325"/>
      <c r="AB22" s="326"/>
      <c r="AC22" s="327" t="s">
        <v>17</v>
      </c>
      <c r="AD22" s="328"/>
      <c r="AE22" s="325"/>
      <c r="AF22" s="325"/>
      <c r="AG22" s="325"/>
      <c r="AH22" s="325"/>
      <c r="AI22" s="325"/>
      <c r="AJ22" s="325"/>
      <c r="AK22" s="325"/>
      <c r="AL22" s="325"/>
      <c r="AM22" s="325"/>
      <c r="AN22" s="325"/>
      <c r="AO22" s="325"/>
      <c r="AP22" s="325"/>
      <c r="AQ22" s="325"/>
      <c r="AR22" s="325"/>
      <c r="AS22" s="64"/>
      <c r="AT22" s="162" t="s">
        <v>17</v>
      </c>
      <c r="AU22" s="325"/>
      <c r="AV22" s="325"/>
      <c r="AW22" s="325"/>
      <c r="AX22" s="325"/>
      <c r="AY22" s="325"/>
      <c r="AZ22" s="325"/>
      <c r="BA22" s="325"/>
      <c r="BB22" s="325"/>
      <c r="BC22" s="325"/>
      <c r="BD22" s="325"/>
      <c r="BE22" s="64"/>
    </row>
    <row r="23" spans="1:57" ht="12.75" customHeight="1" thickBot="1" x14ac:dyDescent="0.4">
      <c r="A23" s="164" t="s">
        <v>19</v>
      </c>
      <c r="B23" s="329"/>
      <c r="C23" s="329"/>
      <c r="D23" s="329"/>
      <c r="E23" s="329"/>
      <c r="F23" s="329"/>
      <c r="G23" s="329"/>
      <c r="H23" s="329"/>
      <c r="I23" s="329"/>
      <c r="J23" s="329"/>
      <c r="K23" s="329"/>
      <c r="L23" s="65"/>
      <c r="M23" s="164" t="s">
        <v>19</v>
      </c>
      <c r="N23" s="329"/>
      <c r="O23" s="329"/>
      <c r="P23" s="329"/>
      <c r="Q23" s="329"/>
      <c r="R23" s="329"/>
      <c r="S23" s="329"/>
      <c r="T23" s="329"/>
      <c r="U23" s="329"/>
      <c r="V23" s="329"/>
      <c r="W23" s="329"/>
      <c r="X23" s="329"/>
      <c r="Y23" s="329"/>
      <c r="Z23" s="329"/>
      <c r="AA23" s="329"/>
      <c r="AB23" s="330"/>
      <c r="AC23" s="331" t="s">
        <v>19</v>
      </c>
      <c r="AD23" s="332"/>
      <c r="AE23" s="333"/>
      <c r="AF23" s="333"/>
      <c r="AG23" s="333"/>
      <c r="AH23" s="333"/>
      <c r="AI23" s="333"/>
      <c r="AJ23" s="333"/>
      <c r="AK23" s="333"/>
      <c r="AL23" s="333"/>
      <c r="AM23" s="333"/>
      <c r="AN23" s="333"/>
      <c r="AO23" s="333"/>
      <c r="AP23" s="333"/>
      <c r="AQ23" s="333"/>
      <c r="AR23" s="333"/>
      <c r="AS23" s="66"/>
      <c r="AT23" s="164" t="s">
        <v>19</v>
      </c>
      <c r="AU23" s="329"/>
      <c r="AV23" s="329"/>
      <c r="AW23" s="329"/>
      <c r="AX23" s="329"/>
      <c r="AY23" s="329"/>
      <c r="AZ23" s="329"/>
      <c r="BA23" s="329"/>
      <c r="BB23" s="329"/>
      <c r="BC23" s="329"/>
      <c r="BD23" s="329"/>
      <c r="BE23" s="65"/>
    </row>
    <row r="24" spans="1:57" ht="12.75" customHeight="1" x14ac:dyDescent="0.35">
      <c r="A24" s="341" t="s">
        <v>5</v>
      </c>
      <c r="B24" s="159" t="s">
        <v>75</v>
      </c>
      <c r="C24" s="157"/>
      <c r="D24" s="157"/>
      <c r="E24" s="157"/>
      <c r="F24" s="157"/>
      <c r="G24" s="157"/>
      <c r="H24" s="157"/>
      <c r="I24" s="157"/>
      <c r="J24" s="157"/>
      <c r="K24" s="156"/>
      <c r="L24" s="160" t="s">
        <v>78</v>
      </c>
      <c r="M24" s="334" t="s">
        <v>5</v>
      </c>
      <c r="N24" s="67" t="s">
        <v>75</v>
      </c>
      <c r="O24" s="68"/>
      <c r="P24" s="68"/>
      <c r="Q24" s="68"/>
      <c r="R24" s="68"/>
      <c r="S24" s="68"/>
      <c r="T24" s="68"/>
      <c r="U24" s="342"/>
      <c r="V24" s="342"/>
      <c r="W24" s="342"/>
      <c r="X24" s="342"/>
      <c r="Y24" s="342"/>
      <c r="Z24" s="343"/>
      <c r="AA24" s="344" t="s">
        <v>78</v>
      </c>
      <c r="AB24" s="345"/>
      <c r="AC24" s="334" t="s">
        <v>5</v>
      </c>
      <c r="AD24" s="342"/>
      <c r="AE24" s="346" t="s">
        <v>75</v>
      </c>
      <c r="AF24" s="347"/>
      <c r="AG24" s="347"/>
      <c r="AH24" s="348"/>
      <c r="AI24" s="342"/>
      <c r="AJ24" s="342"/>
      <c r="AK24" s="68"/>
      <c r="AL24" s="68"/>
      <c r="AM24" s="68"/>
      <c r="AN24" s="68"/>
      <c r="AO24" s="68"/>
      <c r="AP24" s="68"/>
      <c r="AQ24" s="68"/>
      <c r="AR24" s="69"/>
      <c r="AS24" s="70" t="s">
        <v>78</v>
      </c>
      <c r="AT24" s="334" t="s">
        <v>5</v>
      </c>
      <c r="AU24" s="67" t="s">
        <v>75</v>
      </c>
      <c r="AV24" s="68"/>
      <c r="AW24" s="68"/>
      <c r="AX24" s="68"/>
      <c r="AY24" s="68"/>
      <c r="AZ24" s="68"/>
      <c r="BA24" s="68"/>
      <c r="BB24" s="68"/>
      <c r="BC24" s="68"/>
      <c r="BD24" s="69"/>
      <c r="BE24" s="70" t="s">
        <v>78</v>
      </c>
    </row>
    <row r="25" spans="1:57" ht="12.75" customHeight="1" x14ac:dyDescent="0.35">
      <c r="A25" s="335"/>
      <c r="B25" s="72" t="s">
        <v>76</v>
      </c>
      <c r="C25" s="73"/>
      <c r="D25" s="73"/>
      <c r="E25" s="73"/>
      <c r="F25" s="73"/>
      <c r="G25" s="73"/>
      <c r="H25" s="73"/>
      <c r="I25" s="73"/>
      <c r="J25" s="73"/>
      <c r="K25" s="74"/>
      <c r="L25" s="75"/>
      <c r="M25" s="335"/>
      <c r="N25" s="72" t="s">
        <v>76</v>
      </c>
      <c r="O25" s="73"/>
      <c r="P25" s="73"/>
      <c r="Q25" s="73"/>
      <c r="R25" s="73"/>
      <c r="S25" s="73"/>
      <c r="T25" s="73"/>
      <c r="U25" s="337"/>
      <c r="V25" s="337"/>
      <c r="W25" s="337"/>
      <c r="X25" s="337"/>
      <c r="Y25" s="337"/>
      <c r="Z25" s="338"/>
      <c r="AA25" s="339"/>
      <c r="AB25" s="340"/>
      <c r="AC25" s="335"/>
      <c r="AD25" s="337"/>
      <c r="AE25" s="349" t="s">
        <v>76</v>
      </c>
      <c r="AF25" s="350"/>
      <c r="AG25" s="350"/>
      <c r="AH25" s="351"/>
      <c r="AI25" s="337"/>
      <c r="AJ25" s="337"/>
      <c r="AK25" s="73"/>
      <c r="AL25" s="73"/>
      <c r="AM25" s="73"/>
      <c r="AN25" s="73"/>
      <c r="AO25" s="73"/>
      <c r="AP25" s="73"/>
      <c r="AQ25" s="73"/>
      <c r="AR25" s="74"/>
      <c r="AS25" s="75"/>
      <c r="AT25" s="335"/>
      <c r="AU25" s="72" t="s">
        <v>76</v>
      </c>
      <c r="AV25" s="73"/>
      <c r="AW25" s="73"/>
      <c r="AX25" s="73"/>
      <c r="AY25" s="73"/>
      <c r="AZ25" s="73"/>
      <c r="BA25" s="73"/>
      <c r="BB25" s="73"/>
      <c r="BC25" s="73"/>
      <c r="BD25" s="74"/>
      <c r="BE25" s="75"/>
    </row>
    <row r="26" spans="1:57" ht="12.75" customHeight="1" thickBot="1" x14ac:dyDescent="0.4">
      <c r="A26" s="336"/>
      <c r="B26" s="76" t="s">
        <v>77</v>
      </c>
      <c r="C26" s="77"/>
      <c r="D26" s="77"/>
      <c r="E26" s="77"/>
      <c r="F26" s="77"/>
      <c r="G26" s="77"/>
      <c r="H26" s="77"/>
      <c r="I26" s="77"/>
      <c r="J26" s="77"/>
      <c r="K26" s="78"/>
      <c r="L26" s="79"/>
      <c r="M26" s="336"/>
      <c r="N26" s="76" t="s">
        <v>77</v>
      </c>
      <c r="O26" s="77"/>
      <c r="P26" s="77"/>
      <c r="Q26" s="77"/>
      <c r="R26" s="77"/>
      <c r="S26" s="77"/>
      <c r="T26" s="77"/>
      <c r="U26" s="362"/>
      <c r="V26" s="362"/>
      <c r="W26" s="362"/>
      <c r="X26" s="362"/>
      <c r="Y26" s="362"/>
      <c r="Z26" s="363"/>
      <c r="AA26" s="364"/>
      <c r="AB26" s="365"/>
      <c r="AC26" s="336"/>
      <c r="AD26" s="366"/>
      <c r="AE26" s="352" t="s">
        <v>77</v>
      </c>
      <c r="AF26" s="353"/>
      <c r="AG26" s="353"/>
      <c r="AH26" s="354"/>
      <c r="AI26" s="366"/>
      <c r="AJ26" s="366"/>
      <c r="AK26" s="80"/>
      <c r="AL26" s="80"/>
      <c r="AM26" s="80"/>
      <c r="AN26" s="80"/>
      <c r="AO26" s="80"/>
      <c r="AP26" s="80"/>
      <c r="AQ26" s="80"/>
      <c r="AR26" s="81"/>
      <c r="AS26" s="82"/>
      <c r="AT26" s="336"/>
      <c r="AU26" s="76" t="s">
        <v>77</v>
      </c>
      <c r="AV26" s="77"/>
      <c r="AW26" s="77"/>
      <c r="AX26" s="77"/>
      <c r="AY26" s="77"/>
      <c r="AZ26" s="77"/>
      <c r="BA26" s="77"/>
      <c r="BB26" s="77"/>
      <c r="BC26" s="77"/>
      <c r="BD26" s="78"/>
      <c r="BE26" s="79"/>
    </row>
    <row r="27" spans="1:57" ht="12.75" customHeight="1" x14ac:dyDescent="0.35">
      <c r="A27" s="83" t="s">
        <v>79</v>
      </c>
      <c r="B27" s="84" t="s">
        <v>62</v>
      </c>
      <c r="C27" s="355" t="s">
        <v>63</v>
      </c>
      <c r="D27" s="356"/>
      <c r="E27" s="356"/>
      <c r="F27" s="356"/>
      <c r="G27" s="357"/>
      <c r="H27" s="355" t="s">
        <v>64</v>
      </c>
      <c r="I27" s="356"/>
      <c r="J27" s="356"/>
      <c r="K27" s="356"/>
      <c r="L27" s="357"/>
      <c r="M27" s="85" t="s">
        <v>79</v>
      </c>
      <c r="N27" s="84" t="s">
        <v>62</v>
      </c>
      <c r="O27" s="355" t="s">
        <v>63</v>
      </c>
      <c r="P27" s="356"/>
      <c r="Q27" s="356"/>
      <c r="R27" s="356"/>
      <c r="S27" s="357"/>
      <c r="T27" s="355" t="s">
        <v>64</v>
      </c>
      <c r="U27" s="356"/>
      <c r="V27" s="356"/>
      <c r="W27" s="356"/>
      <c r="X27" s="356"/>
      <c r="Y27" s="356"/>
      <c r="Z27" s="356"/>
      <c r="AA27" s="356"/>
      <c r="AB27" s="357"/>
      <c r="AC27" s="358" t="s">
        <v>64</v>
      </c>
      <c r="AD27" s="359"/>
      <c r="AE27" s="359"/>
      <c r="AF27" s="359"/>
      <c r="AG27" s="359"/>
      <c r="AH27" s="359"/>
      <c r="AI27" s="359"/>
      <c r="AJ27" s="360"/>
      <c r="AK27" s="361" t="s">
        <v>79</v>
      </c>
      <c r="AL27" s="359"/>
      <c r="AM27" s="359" t="s">
        <v>62</v>
      </c>
      <c r="AN27" s="367"/>
      <c r="AO27" s="358" t="s">
        <v>63</v>
      </c>
      <c r="AP27" s="359"/>
      <c r="AQ27" s="359"/>
      <c r="AR27" s="359"/>
      <c r="AS27" s="360"/>
      <c r="AT27" s="85" t="s">
        <v>79</v>
      </c>
      <c r="AU27" s="84" t="s">
        <v>62</v>
      </c>
      <c r="AV27" s="355" t="s">
        <v>63</v>
      </c>
      <c r="AW27" s="356"/>
      <c r="AX27" s="356"/>
      <c r="AY27" s="356"/>
      <c r="AZ27" s="357"/>
      <c r="BA27" s="355" t="s">
        <v>64</v>
      </c>
      <c r="BB27" s="356"/>
      <c r="BC27" s="356"/>
      <c r="BD27" s="356"/>
      <c r="BE27" s="357"/>
    </row>
    <row r="28" spans="1:57" ht="13.5" customHeight="1" x14ac:dyDescent="0.35">
      <c r="A28" s="86"/>
      <c r="B28" s="87"/>
      <c r="C28" s="86"/>
      <c r="D28" s="88"/>
      <c r="E28" s="88"/>
      <c r="F28" s="88"/>
      <c r="G28" s="89"/>
      <c r="H28" s="368" t="s">
        <v>65</v>
      </c>
      <c r="I28" s="369"/>
      <c r="J28" s="369"/>
      <c r="K28" s="369"/>
      <c r="L28" s="370"/>
      <c r="M28" s="90"/>
      <c r="N28" s="87"/>
      <c r="O28" s="86"/>
      <c r="P28" s="88"/>
      <c r="Q28" s="88"/>
      <c r="R28" s="88"/>
      <c r="S28" s="89"/>
      <c r="T28" s="371" t="s">
        <v>65</v>
      </c>
      <c r="U28" s="372"/>
      <c r="V28" s="372"/>
      <c r="W28" s="372"/>
      <c r="X28" s="372"/>
      <c r="Y28" s="372"/>
      <c r="Z28" s="372"/>
      <c r="AA28" s="372"/>
      <c r="AB28" s="373"/>
      <c r="AC28" s="371" t="s">
        <v>65</v>
      </c>
      <c r="AD28" s="372"/>
      <c r="AE28" s="372"/>
      <c r="AF28" s="372"/>
      <c r="AG28" s="372"/>
      <c r="AH28" s="372"/>
      <c r="AI28" s="372"/>
      <c r="AJ28" s="373"/>
      <c r="AK28" s="374"/>
      <c r="AL28" s="375"/>
      <c r="AM28" s="375"/>
      <c r="AN28" s="376"/>
      <c r="AO28" s="86"/>
      <c r="AP28" s="88"/>
      <c r="AQ28" s="88"/>
      <c r="AR28" s="88"/>
      <c r="AS28" s="89"/>
      <c r="AT28" s="90"/>
      <c r="AU28" s="87"/>
      <c r="AV28" s="86"/>
      <c r="AW28" s="88"/>
      <c r="AX28" s="88"/>
      <c r="AY28" s="88"/>
      <c r="AZ28" s="89"/>
      <c r="BA28" s="371" t="s">
        <v>65</v>
      </c>
      <c r="BB28" s="372"/>
      <c r="BC28" s="372"/>
      <c r="BD28" s="372"/>
      <c r="BE28" s="373"/>
    </row>
    <row r="29" spans="1:57" ht="13.5" customHeight="1" thickBot="1" x14ac:dyDescent="0.4">
      <c r="A29" s="71"/>
      <c r="B29" s="74"/>
      <c r="C29" s="71"/>
      <c r="D29" s="73"/>
      <c r="E29" s="73"/>
      <c r="F29" s="73"/>
      <c r="G29" s="91"/>
      <c r="H29" s="92">
        <v>1</v>
      </c>
      <c r="I29" s="93">
        <v>2</v>
      </c>
      <c r="J29" s="93">
        <v>3</v>
      </c>
      <c r="K29" s="93">
        <v>4</v>
      </c>
      <c r="L29" s="59">
        <v>5</v>
      </c>
      <c r="M29" s="94"/>
      <c r="N29" s="74"/>
      <c r="O29" s="71"/>
      <c r="P29" s="73"/>
      <c r="Q29" s="73"/>
      <c r="R29" s="73"/>
      <c r="S29" s="91"/>
      <c r="T29" s="92">
        <v>1</v>
      </c>
      <c r="U29" s="377">
        <v>2</v>
      </c>
      <c r="V29" s="377"/>
      <c r="W29" s="377">
        <v>2</v>
      </c>
      <c r="X29" s="377"/>
      <c r="Y29" s="377">
        <v>4</v>
      </c>
      <c r="Z29" s="377"/>
      <c r="AA29" s="377">
        <v>5</v>
      </c>
      <c r="AB29" s="378"/>
      <c r="AC29" s="92">
        <v>1</v>
      </c>
      <c r="AD29" s="93">
        <v>2</v>
      </c>
      <c r="AE29" s="377">
        <v>3</v>
      </c>
      <c r="AF29" s="377"/>
      <c r="AG29" s="377">
        <v>4</v>
      </c>
      <c r="AH29" s="377"/>
      <c r="AI29" s="377">
        <v>5</v>
      </c>
      <c r="AJ29" s="378"/>
      <c r="AK29" s="374"/>
      <c r="AL29" s="375"/>
      <c r="AM29" s="375"/>
      <c r="AN29" s="376"/>
      <c r="AO29" s="86"/>
      <c r="AP29" s="88"/>
      <c r="AQ29" s="88"/>
      <c r="AR29" s="88"/>
      <c r="AS29" s="89"/>
      <c r="AT29" s="94"/>
      <c r="AU29" s="74"/>
      <c r="AV29" s="71"/>
      <c r="AW29" s="73"/>
      <c r="AX29" s="73"/>
      <c r="AY29" s="73"/>
      <c r="AZ29" s="91"/>
      <c r="BA29" s="92">
        <v>1</v>
      </c>
      <c r="BB29" s="93">
        <v>2</v>
      </c>
      <c r="BC29" s="93">
        <v>3</v>
      </c>
      <c r="BD29" s="93">
        <v>4</v>
      </c>
      <c r="BE29" s="59">
        <v>5</v>
      </c>
    </row>
    <row r="30" spans="1:57" ht="13.5" customHeight="1" x14ac:dyDescent="0.35">
      <c r="A30" s="71"/>
      <c r="B30" s="74"/>
      <c r="C30" s="71"/>
      <c r="D30" s="73"/>
      <c r="E30" s="73"/>
      <c r="F30" s="73"/>
      <c r="G30" s="91"/>
      <c r="H30" s="379" t="s">
        <v>66</v>
      </c>
      <c r="I30" s="380"/>
      <c r="J30" s="380"/>
      <c r="K30" s="380"/>
      <c r="L30" s="381"/>
      <c r="M30" s="94"/>
      <c r="N30" s="74"/>
      <c r="O30" s="71"/>
      <c r="P30" s="73"/>
      <c r="Q30" s="73"/>
      <c r="R30" s="73"/>
      <c r="S30" s="91"/>
      <c r="T30" s="379" t="s">
        <v>66</v>
      </c>
      <c r="U30" s="380"/>
      <c r="V30" s="380"/>
      <c r="W30" s="380"/>
      <c r="X30" s="380"/>
      <c r="Y30" s="380"/>
      <c r="Z30" s="380"/>
      <c r="AA30" s="380"/>
      <c r="AB30" s="381"/>
      <c r="AC30" s="379" t="s">
        <v>66</v>
      </c>
      <c r="AD30" s="380"/>
      <c r="AE30" s="380"/>
      <c r="AF30" s="380"/>
      <c r="AG30" s="380"/>
      <c r="AH30" s="380"/>
      <c r="AI30" s="380"/>
      <c r="AJ30" s="381"/>
      <c r="AK30" s="374"/>
      <c r="AL30" s="375"/>
      <c r="AM30" s="375"/>
      <c r="AN30" s="376"/>
      <c r="AO30" s="86"/>
      <c r="AP30" s="88"/>
      <c r="AQ30" s="88"/>
      <c r="AR30" s="88"/>
      <c r="AS30" s="89"/>
      <c r="AT30" s="94"/>
      <c r="AU30" s="74"/>
      <c r="AV30" s="71"/>
      <c r="AW30" s="73"/>
      <c r="AX30" s="73"/>
      <c r="AY30" s="73"/>
      <c r="AZ30" s="91"/>
      <c r="BA30" s="392" t="s">
        <v>66</v>
      </c>
      <c r="BB30" s="393"/>
      <c r="BC30" s="393"/>
      <c r="BD30" s="393"/>
      <c r="BE30" s="394"/>
    </row>
    <row r="31" spans="1:57" ht="13.5" customHeight="1" thickBot="1" x14ac:dyDescent="0.4">
      <c r="A31" s="71"/>
      <c r="B31" s="74"/>
      <c r="C31" s="71"/>
      <c r="D31" s="73"/>
      <c r="E31" s="73"/>
      <c r="F31" s="73"/>
      <c r="G31" s="91"/>
      <c r="H31" s="92">
        <v>1</v>
      </c>
      <c r="I31" s="93">
        <v>2</v>
      </c>
      <c r="J31" s="93">
        <v>3</v>
      </c>
      <c r="K31" s="93">
        <v>4</v>
      </c>
      <c r="L31" s="59">
        <v>5</v>
      </c>
      <c r="M31" s="94"/>
      <c r="N31" s="74"/>
      <c r="O31" s="71"/>
      <c r="P31" s="73"/>
      <c r="Q31" s="73"/>
      <c r="R31" s="73"/>
      <c r="S31" s="91"/>
      <c r="T31" s="92">
        <v>1</v>
      </c>
      <c r="U31" s="377">
        <v>2</v>
      </c>
      <c r="V31" s="377"/>
      <c r="W31" s="377">
        <v>2</v>
      </c>
      <c r="X31" s="377"/>
      <c r="Y31" s="377">
        <v>4</v>
      </c>
      <c r="Z31" s="377"/>
      <c r="AA31" s="377">
        <v>5</v>
      </c>
      <c r="AB31" s="378"/>
      <c r="AC31" s="92">
        <v>1</v>
      </c>
      <c r="AD31" s="93">
        <v>2</v>
      </c>
      <c r="AE31" s="377">
        <v>3</v>
      </c>
      <c r="AF31" s="377"/>
      <c r="AG31" s="377">
        <v>4</v>
      </c>
      <c r="AH31" s="377"/>
      <c r="AI31" s="377">
        <v>5</v>
      </c>
      <c r="AJ31" s="378"/>
      <c r="AK31" s="374"/>
      <c r="AL31" s="375"/>
      <c r="AM31" s="375"/>
      <c r="AN31" s="376"/>
      <c r="AO31" s="86"/>
      <c r="AP31" s="88"/>
      <c r="AQ31" s="88"/>
      <c r="AR31" s="88"/>
      <c r="AS31" s="89"/>
      <c r="AT31" s="94"/>
      <c r="AU31" s="74"/>
      <c r="AV31" s="71"/>
      <c r="AW31" s="73"/>
      <c r="AX31" s="73"/>
      <c r="AY31" s="73"/>
      <c r="AZ31" s="91"/>
      <c r="BA31" s="92">
        <v>1</v>
      </c>
      <c r="BB31" s="93">
        <v>2</v>
      </c>
      <c r="BC31" s="93">
        <v>3</v>
      </c>
      <c r="BD31" s="93">
        <v>4</v>
      </c>
      <c r="BE31" s="59">
        <v>5</v>
      </c>
    </row>
    <row r="32" spans="1:57" ht="13.5" customHeight="1" thickBot="1" x14ac:dyDescent="0.4">
      <c r="A32" s="71"/>
      <c r="B32" s="74"/>
      <c r="C32" s="71"/>
      <c r="D32" s="73"/>
      <c r="E32" s="73"/>
      <c r="F32" s="73"/>
      <c r="G32" s="91"/>
      <c r="H32" s="334"/>
      <c r="I32" s="342"/>
      <c r="J32" s="342"/>
      <c r="K32" s="342"/>
      <c r="L32" s="382"/>
      <c r="M32" s="94"/>
      <c r="N32" s="74"/>
      <c r="O32" s="71"/>
      <c r="P32" s="73"/>
      <c r="Q32" s="73"/>
      <c r="R32" s="73"/>
      <c r="S32" s="91"/>
      <c r="T32" s="399" t="s">
        <v>67</v>
      </c>
      <c r="U32" s="400"/>
      <c r="V32" s="400"/>
      <c r="W32" s="400"/>
      <c r="X32" s="400"/>
      <c r="Y32" s="400"/>
      <c r="Z32" s="400"/>
      <c r="AA32" s="400"/>
      <c r="AB32" s="400"/>
      <c r="AC32" s="400"/>
      <c r="AD32" s="400"/>
      <c r="AE32" s="400"/>
      <c r="AF32" s="400"/>
      <c r="AG32" s="400"/>
      <c r="AH32" s="400"/>
      <c r="AI32" s="400"/>
      <c r="AJ32" s="401"/>
      <c r="AK32" s="374"/>
      <c r="AL32" s="375"/>
      <c r="AM32" s="375"/>
      <c r="AN32" s="376"/>
      <c r="AO32" s="86"/>
      <c r="AP32" s="88"/>
      <c r="AQ32" s="88"/>
      <c r="AR32" s="88"/>
      <c r="AS32" s="89"/>
      <c r="AT32" s="94"/>
      <c r="AU32" s="74"/>
      <c r="AV32" s="71"/>
      <c r="AW32" s="73"/>
      <c r="AX32" s="73"/>
      <c r="AY32" s="73"/>
      <c r="AZ32" s="91"/>
      <c r="BA32" s="334"/>
      <c r="BB32" s="342"/>
      <c r="BC32" s="342"/>
      <c r="BD32" s="342"/>
      <c r="BE32" s="382"/>
    </row>
    <row r="33" spans="1:57" ht="13.5" customHeight="1" x14ac:dyDescent="0.35">
      <c r="A33" s="71"/>
      <c r="B33" s="74"/>
      <c r="C33" s="71"/>
      <c r="D33" s="73"/>
      <c r="E33" s="73"/>
      <c r="F33" s="73"/>
      <c r="G33" s="91"/>
      <c r="H33" s="335"/>
      <c r="I33" s="337"/>
      <c r="J33" s="337"/>
      <c r="K33" s="337"/>
      <c r="L33" s="383"/>
      <c r="M33" s="94"/>
      <c r="N33" s="74"/>
      <c r="O33" s="71"/>
      <c r="P33" s="73"/>
      <c r="Q33" s="73"/>
      <c r="R33" s="73"/>
      <c r="S33" s="91"/>
      <c r="T33" s="385" t="s">
        <v>65</v>
      </c>
      <c r="U33" s="386"/>
      <c r="V33" s="386"/>
      <c r="W33" s="386"/>
      <c r="X33" s="386"/>
      <c r="Y33" s="386"/>
      <c r="Z33" s="386"/>
      <c r="AA33" s="386"/>
      <c r="AB33" s="387"/>
      <c r="AC33" s="388" t="s">
        <v>66</v>
      </c>
      <c r="AD33" s="389"/>
      <c r="AE33" s="389"/>
      <c r="AF33" s="389"/>
      <c r="AG33" s="389"/>
      <c r="AH33" s="389"/>
      <c r="AI33" s="389"/>
      <c r="AJ33" s="390"/>
      <c r="AK33" s="374"/>
      <c r="AL33" s="375"/>
      <c r="AM33" s="375"/>
      <c r="AN33" s="376"/>
      <c r="AO33" s="86"/>
      <c r="AP33" s="88"/>
      <c r="AQ33" s="88"/>
      <c r="AR33" s="88"/>
      <c r="AS33" s="89"/>
      <c r="AT33" s="94"/>
      <c r="AU33" s="74"/>
      <c r="AV33" s="71"/>
      <c r="AW33" s="73"/>
      <c r="AX33" s="73"/>
      <c r="AY33" s="73"/>
      <c r="AZ33" s="91"/>
      <c r="BA33" s="335"/>
      <c r="BB33" s="337"/>
      <c r="BC33" s="337"/>
      <c r="BD33" s="337"/>
      <c r="BE33" s="383"/>
    </row>
    <row r="34" spans="1:57" ht="6.75" customHeight="1" x14ac:dyDescent="0.35">
      <c r="A34" s="396"/>
      <c r="B34" s="363"/>
      <c r="C34" s="396"/>
      <c r="D34" s="362"/>
      <c r="E34" s="362"/>
      <c r="F34" s="362"/>
      <c r="G34" s="397"/>
      <c r="H34" s="335"/>
      <c r="I34" s="337"/>
      <c r="J34" s="337"/>
      <c r="K34" s="337"/>
      <c r="L34" s="383"/>
      <c r="M34" s="410"/>
      <c r="N34" s="363"/>
      <c r="O34" s="396"/>
      <c r="P34" s="362"/>
      <c r="Q34" s="362"/>
      <c r="R34" s="362"/>
      <c r="S34" s="397"/>
      <c r="T34" s="95"/>
      <c r="U34" s="96">
        <v>1</v>
      </c>
      <c r="V34" s="96">
        <v>2</v>
      </c>
      <c r="W34" s="96">
        <v>3</v>
      </c>
      <c r="X34" s="96">
        <v>4</v>
      </c>
      <c r="Y34" s="96">
        <v>5</v>
      </c>
      <c r="Z34" s="402"/>
      <c r="AA34" s="402"/>
      <c r="AB34" s="403"/>
      <c r="AC34" s="406"/>
      <c r="AD34" s="97"/>
      <c r="AE34" s="96">
        <v>1</v>
      </c>
      <c r="AF34" s="96">
        <v>2</v>
      </c>
      <c r="AG34" s="96">
        <v>3</v>
      </c>
      <c r="AH34" s="96">
        <v>4</v>
      </c>
      <c r="AI34" s="96">
        <v>5</v>
      </c>
      <c r="AJ34" s="403"/>
      <c r="AK34" s="409"/>
      <c r="AL34" s="337"/>
      <c r="AM34" s="337"/>
      <c r="AN34" s="338"/>
      <c r="AO34" s="335"/>
      <c r="AP34" s="337"/>
      <c r="AQ34" s="337"/>
      <c r="AR34" s="337"/>
      <c r="AS34" s="383"/>
      <c r="AT34" s="410"/>
      <c r="AU34" s="363"/>
      <c r="AV34" s="396"/>
      <c r="AW34" s="362"/>
      <c r="AX34" s="362"/>
      <c r="AY34" s="362"/>
      <c r="AZ34" s="397"/>
      <c r="BA34" s="335"/>
      <c r="BB34" s="337"/>
      <c r="BC34" s="337"/>
      <c r="BD34" s="337"/>
      <c r="BE34" s="383"/>
    </row>
    <row r="35" spans="1:57" ht="6.75" customHeight="1" x14ac:dyDescent="0.35">
      <c r="A35" s="341"/>
      <c r="B35" s="395"/>
      <c r="C35" s="341"/>
      <c r="D35" s="391"/>
      <c r="E35" s="391"/>
      <c r="F35" s="391"/>
      <c r="G35" s="398"/>
      <c r="H35" s="335"/>
      <c r="I35" s="337"/>
      <c r="J35" s="337"/>
      <c r="K35" s="337"/>
      <c r="L35" s="383"/>
      <c r="M35" s="411"/>
      <c r="N35" s="395"/>
      <c r="O35" s="341"/>
      <c r="P35" s="391"/>
      <c r="Q35" s="391"/>
      <c r="R35" s="391"/>
      <c r="S35" s="398"/>
      <c r="T35" s="95"/>
      <c r="U35" s="96">
        <v>1</v>
      </c>
      <c r="V35" s="96">
        <v>2</v>
      </c>
      <c r="W35" s="96">
        <v>3</v>
      </c>
      <c r="X35" s="96">
        <v>4</v>
      </c>
      <c r="Y35" s="96">
        <v>5</v>
      </c>
      <c r="Z35" s="402"/>
      <c r="AA35" s="402"/>
      <c r="AB35" s="403"/>
      <c r="AC35" s="407"/>
      <c r="AD35" s="97"/>
      <c r="AE35" s="96">
        <v>1</v>
      </c>
      <c r="AF35" s="96">
        <v>2</v>
      </c>
      <c r="AG35" s="96">
        <v>3</v>
      </c>
      <c r="AH35" s="96">
        <v>4</v>
      </c>
      <c r="AI35" s="96">
        <v>5</v>
      </c>
      <c r="AJ35" s="403"/>
      <c r="AK35" s="409"/>
      <c r="AL35" s="337"/>
      <c r="AM35" s="337"/>
      <c r="AN35" s="338"/>
      <c r="AO35" s="335"/>
      <c r="AP35" s="337"/>
      <c r="AQ35" s="337"/>
      <c r="AR35" s="337"/>
      <c r="AS35" s="383"/>
      <c r="AT35" s="411"/>
      <c r="AU35" s="395"/>
      <c r="AV35" s="341"/>
      <c r="AW35" s="391"/>
      <c r="AX35" s="391"/>
      <c r="AY35" s="391"/>
      <c r="AZ35" s="398"/>
      <c r="BA35" s="335"/>
      <c r="BB35" s="337"/>
      <c r="BC35" s="337"/>
      <c r="BD35" s="337"/>
      <c r="BE35" s="383"/>
    </row>
    <row r="36" spans="1:57" ht="6.75" customHeight="1" x14ac:dyDescent="0.35">
      <c r="A36" s="335"/>
      <c r="B36" s="338"/>
      <c r="C36" s="335"/>
      <c r="D36" s="337"/>
      <c r="E36" s="337"/>
      <c r="F36" s="337"/>
      <c r="G36" s="383"/>
      <c r="H36" s="335"/>
      <c r="I36" s="337"/>
      <c r="J36" s="337"/>
      <c r="K36" s="337"/>
      <c r="L36" s="383"/>
      <c r="M36" s="409"/>
      <c r="N36" s="338"/>
      <c r="O36" s="335"/>
      <c r="P36" s="337"/>
      <c r="Q36" s="337"/>
      <c r="R36" s="337"/>
      <c r="S36" s="383"/>
      <c r="T36" s="95"/>
      <c r="U36" s="96">
        <v>1</v>
      </c>
      <c r="V36" s="96">
        <v>2</v>
      </c>
      <c r="W36" s="96">
        <v>3</v>
      </c>
      <c r="X36" s="96">
        <v>4</v>
      </c>
      <c r="Y36" s="96">
        <v>5</v>
      </c>
      <c r="Z36" s="402"/>
      <c r="AA36" s="402"/>
      <c r="AB36" s="403"/>
      <c r="AC36" s="407"/>
      <c r="AD36" s="97"/>
      <c r="AE36" s="96">
        <v>1</v>
      </c>
      <c r="AF36" s="96">
        <v>2</v>
      </c>
      <c r="AG36" s="96">
        <v>3</v>
      </c>
      <c r="AH36" s="96">
        <v>4</v>
      </c>
      <c r="AI36" s="96">
        <v>5</v>
      </c>
      <c r="AJ36" s="403"/>
      <c r="AK36" s="409"/>
      <c r="AL36" s="337"/>
      <c r="AM36" s="337"/>
      <c r="AN36" s="338"/>
      <c r="AO36" s="335"/>
      <c r="AP36" s="337"/>
      <c r="AQ36" s="337"/>
      <c r="AR36" s="337"/>
      <c r="AS36" s="383"/>
      <c r="AT36" s="409"/>
      <c r="AU36" s="338"/>
      <c r="AV36" s="335"/>
      <c r="AW36" s="337"/>
      <c r="AX36" s="337"/>
      <c r="AY36" s="337"/>
      <c r="AZ36" s="383"/>
      <c r="BA36" s="335"/>
      <c r="BB36" s="337"/>
      <c r="BC36" s="337"/>
      <c r="BD36" s="337"/>
      <c r="BE36" s="383"/>
    </row>
    <row r="37" spans="1:57" ht="6.75" customHeight="1" x14ac:dyDescent="0.35">
      <c r="A37" s="335"/>
      <c r="B37" s="338"/>
      <c r="C37" s="335"/>
      <c r="D37" s="337"/>
      <c r="E37" s="337"/>
      <c r="F37" s="337"/>
      <c r="G37" s="383"/>
      <c r="H37" s="335"/>
      <c r="I37" s="337"/>
      <c r="J37" s="337"/>
      <c r="K37" s="337"/>
      <c r="L37" s="383"/>
      <c r="M37" s="409"/>
      <c r="N37" s="338"/>
      <c r="O37" s="335"/>
      <c r="P37" s="337"/>
      <c r="Q37" s="337"/>
      <c r="R37" s="337"/>
      <c r="S37" s="383"/>
      <c r="T37" s="95"/>
      <c r="U37" s="96">
        <v>1</v>
      </c>
      <c r="V37" s="96">
        <v>2</v>
      </c>
      <c r="W37" s="96">
        <v>3</v>
      </c>
      <c r="X37" s="96">
        <v>4</v>
      </c>
      <c r="Y37" s="96">
        <v>5</v>
      </c>
      <c r="Z37" s="402"/>
      <c r="AA37" s="402"/>
      <c r="AB37" s="403"/>
      <c r="AC37" s="407"/>
      <c r="AD37" s="97"/>
      <c r="AE37" s="96">
        <v>1</v>
      </c>
      <c r="AF37" s="96">
        <v>2</v>
      </c>
      <c r="AG37" s="96">
        <v>3</v>
      </c>
      <c r="AH37" s="96">
        <v>4</v>
      </c>
      <c r="AI37" s="96">
        <v>5</v>
      </c>
      <c r="AJ37" s="403"/>
      <c r="AK37" s="409"/>
      <c r="AL37" s="337"/>
      <c r="AM37" s="337"/>
      <c r="AN37" s="338"/>
      <c r="AO37" s="335"/>
      <c r="AP37" s="337"/>
      <c r="AQ37" s="337"/>
      <c r="AR37" s="337"/>
      <c r="AS37" s="383"/>
      <c r="AT37" s="409"/>
      <c r="AU37" s="338"/>
      <c r="AV37" s="335"/>
      <c r="AW37" s="337"/>
      <c r="AX37" s="337"/>
      <c r="AY37" s="337"/>
      <c r="AZ37" s="383"/>
      <c r="BA37" s="335"/>
      <c r="BB37" s="337"/>
      <c r="BC37" s="337"/>
      <c r="BD37" s="337"/>
      <c r="BE37" s="383"/>
    </row>
    <row r="38" spans="1:57" ht="6.75" customHeight="1" x14ac:dyDescent="0.35">
      <c r="A38" s="335"/>
      <c r="B38" s="338"/>
      <c r="C38" s="335"/>
      <c r="D38" s="337"/>
      <c r="E38" s="337"/>
      <c r="F38" s="337"/>
      <c r="G38" s="383"/>
      <c r="H38" s="335"/>
      <c r="I38" s="337"/>
      <c r="J38" s="337"/>
      <c r="K38" s="337"/>
      <c r="L38" s="383"/>
      <c r="M38" s="409"/>
      <c r="N38" s="338"/>
      <c r="O38" s="335"/>
      <c r="P38" s="337"/>
      <c r="Q38" s="337"/>
      <c r="R38" s="337"/>
      <c r="S38" s="383"/>
      <c r="T38" s="95"/>
      <c r="U38" s="96">
        <v>1</v>
      </c>
      <c r="V38" s="96">
        <v>2</v>
      </c>
      <c r="W38" s="96">
        <v>3</v>
      </c>
      <c r="X38" s="96">
        <v>4</v>
      </c>
      <c r="Y38" s="96">
        <v>5</v>
      </c>
      <c r="Z38" s="402"/>
      <c r="AA38" s="402"/>
      <c r="AB38" s="403"/>
      <c r="AC38" s="407"/>
      <c r="AD38" s="97"/>
      <c r="AE38" s="96">
        <v>1</v>
      </c>
      <c r="AF38" s="96">
        <v>2</v>
      </c>
      <c r="AG38" s="96">
        <v>3</v>
      </c>
      <c r="AH38" s="96">
        <v>4</v>
      </c>
      <c r="AI38" s="96">
        <v>5</v>
      </c>
      <c r="AJ38" s="403"/>
      <c r="AK38" s="409"/>
      <c r="AL38" s="337"/>
      <c r="AM38" s="337"/>
      <c r="AN38" s="338"/>
      <c r="AO38" s="335"/>
      <c r="AP38" s="337"/>
      <c r="AQ38" s="337"/>
      <c r="AR38" s="337"/>
      <c r="AS38" s="383"/>
      <c r="AT38" s="409"/>
      <c r="AU38" s="338"/>
      <c r="AV38" s="335"/>
      <c r="AW38" s="337"/>
      <c r="AX38" s="337"/>
      <c r="AY38" s="337"/>
      <c r="AZ38" s="383"/>
      <c r="BA38" s="335"/>
      <c r="BB38" s="337"/>
      <c r="BC38" s="337"/>
      <c r="BD38" s="337"/>
      <c r="BE38" s="383"/>
    </row>
    <row r="39" spans="1:57" ht="6.75" customHeight="1" x14ac:dyDescent="0.35">
      <c r="A39" s="335"/>
      <c r="B39" s="338"/>
      <c r="C39" s="335"/>
      <c r="D39" s="337"/>
      <c r="E39" s="337"/>
      <c r="F39" s="337"/>
      <c r="G39" s="383"/>
      <c r="H39" s="335"/>
      <c r="I39" s="337"/>
      <c r="J39" s="337"/>
      <c r="K39" s="337"/>
      <c r="L39" s="383"/>
      <c r="M39" s="409"/>
      <c r="N39" s="338"/>
      <c r="O39" s="335"/>
      <c r="P39" s="337"/>
      <c r="Q39" s="337"/>
      <c r="R39" s="337"/>
      <c r="S39" s="383"/>
      <c r="T39" s="95"/>
      <c r="U39" s="96">
        <v>1</v>
      </c>
      <c r="V39" s="96">
        <v>2</v>
      </c>
      <c r="W39" s="96">
        <v>3</v>
      </c>
      <c r="X39" s="96">
        <v>4</v>
      </c>
      <c r="Y39" s="96">
        <v>5</v>
      </c>
      <c r="Z39" s="402"/>
      <c r="AA39" s="402"/>
      <c r="AB39" s="403"/>
      <c r="AC39" s="407"/>
      <c r="AD39" s="97"/>
      <c r="AE39" s="96">
        <v>1</v>
      </c>
      <c r="AF39" s="96">
        <v>2</v>
      </c>
      <c r="AG39" s="96">
        <v>3</v>
      </c>
      <c r="AH39" s="96">
        <v>4</v>
      </c>
      <c r="AI39" s="96">
        <v>5</v>
      </c>
      <c r="AJ39" s="403"/>
      <c r="AK39" s="409"/>
      <c r="AL39" s="337"/>
      <c r="AM39" s="337"/>
      <c r="AN39" s="338"/>
      <c r="AO39" s="335"/>
      <c r="AP39" s="337"/>
      <c r="AQ39" s="337"/>
      <c r="AR39" s="337"/>
      <c r="AS39" s="383"/>
      <c r="AT39" s="409"/>
      <c r="AU39" s="338"/>
      <c r="AV39" s="335"/>
      <c r="AW39" s="337"/>
      <c r="AX39" s="337"/>
      <c r="AY39" s="337"/>
      <c r="AZ39" s="383"/>
      <c r="BA39" s="335"/>
      <c r="BB39" s="337"/>
      <c r="BC39" s="337"/>
      <c r="BD39" s="337"/>
      <c r="BE39" s="383"/>
    </row>
    <row r="40" spans="1:57" ht="6.75" customHeight="1" x14ac:dyDescent="0.35">
      <c r="A40" s="335"/>
      <c r="B40" s="338"/>
      <c r="C40" s="335"/>
      <c r="D40" s="337"/>
      <c r="E40" s="337"/>
      <c r="F40" s="337"/>
      <c r="G40" s="383"/>
      <c r="H40" s="335"/>
      <c r="I40" s="337"/>
      <c r="J40" s="337"/>
      <c r="K40" s="337"/>
      <c r="L40" s="383"/>
      <c r="M40" s="409"/>
      <c r="N40" s="338"/>
      <c r="O40" s="335"/>
      <c r="P40" s="337"/>
      <c r="Q40" s="337"/>
      <c r="R40" s="337"/>
      <c r="S40" s="383"/>
      <c r="T40" s="95"/>
      <c r="U40" s="96">
        <v>1</v>
      </c>
      <c r="V40" s="96">
        <v>2</v>
      </c>
      <c r="W40" s="96">
        <v>3</v>
      </c>
      <c r="X40" s="96">
        <v>4</v>
      </c>
      <c r="Y40" s="96">
        <v>5</v>
      </c>
      <c r="Z40" s="402"/>
      <c r="AA40" s="402"/>
      <c r="AB40" s="403"/>
      <c r="AC40" s="407"/>
      <c r="AD40" s="97"/>
      <c r="AE40" s="96">
        <v>1</v>
      </c>
      <c r="AF40" s="96">
        <v>2</v>
      </c>
      <c r="AG40" s="96">
        <v>3</v>
      </c>
      <c r="AH40" s="96">
        <v>4</v>
      </c>
      <c r="AI40" s="96">
        <v>5</v>
      </c>
      <c r="AJ40" s="403"/>
      <c r="AK40" s="409"/>
      <c r="AL40" s="337"/>
      <c r="AM40" s="337"/>
      <c r="AN40" s="338"/>
      <c r="AO40" s="335"/>
      <c r="AP40" s="337"/>
      <c r="AQ40" s="337"/>
      <c r="AR40" s="337"/>
      <c r="AS40" s="383"/>
      <c r="AT40" s="409"/>
      <c r="AU40" s="338"/>
      <c r="AV40" s="335"/>
      <c r="AW40" s="337"/>
      <c r="AX40" s="337"/>
      <c r="AY40" s="337"/>
      <c r="AZ40" s="383"/>
      <c r="BA40" s="335"/>
      <c r="BB40" s="337"/>
      <c r="BC40" s="337"/>
      <c r="BD40" s="337"/>
      <c r="BE40" s="383"/>
    </row>
    <row r="41" spans="1:57" ht="6.75" customHeight="1" x14ac:dyDescent="0.35">
      <c r="A41" s="335"/>
      <c r="B41" s="338"/>
      <c r="C41" s="335"/>
      <c r="D41" s="337"/>
      <c r="E41" s="337"/>
      <c r="F41" s="337"/>
      <c r="G41" s="383"/>
      <c r="H41" s="335"/>
      <c r="I41" s="337"/>
      <c r="J41" s="337"/>
      <c r="K41" s="337"/>
      <c r="L41" s="383"/>
      <c r="M41" s="409"/>
      <c r="N41" s="338"/>
      <c r="O41" s="335"/>
      <c r="P41" s="337"/>
      <c r="Q41" s="337"/>
      <c r="R41" s="337"/>
      <c r="S41" s="383"/>
      <c r="T41" s="95"/>
      <c r="U41" s="96">
        <v>1</v>
      </c>
      <c r="V41" s="96">
        <v>2</v>
      </c>
      <c r="W41" s="96">
        <v>3</v>
      </c>
      <c r="X41" s="96">
        <v>4</v>
      </c>
      <c r="Y41" s="96">
        <v>5</v>
      </c>
      <c r="Z41" s="402"/>
      <c r="AA41" s="402"/>
      <c r="AB41" s="403"/>
      <c r="AC41" s="407"/>
      <c r="AD41" s="97"/>
      <c r="AE41" s="96">
        <v>1</v>
      </c>
      <c r="AF41" s="96">
        <v>2</v>
      </c>
      <c r="AG41" s="96">
        <v>3</v>
      </c>
      <c r="AH41" s="96">
        <v>4</v>
      </c>
      <c r="AI41" s="96">
        <v>5</v>
      </c>
      <c r="AJ41" s="403"/>
      <c r="AK41" s="409"/>
      <c r="AL41" s="337"/>
      <c r="AM41" s="337"/>
      <c r="AN41" s="338"/>
      <c r="AO41" s="335"/>
      <c r="AP41" s="337"/>
      <c r="AQ41" s="337"/>
      <c r="AR41" s="337"/>
      <c r="AS41" s="383"/>
      <c r="AT41" s="409"/>
      <c r="AU41" s="338"/>
      <c r="AV41" s="335"/>
      <c r="AW41" s="337"/>
      <c r="AX41" s="337"/>
      <c r="AY41" s="337"/>
      <c r="AZ41" s="383"/>
      <c r="BA41" s="335"/>
      <c r="BB41" s="337"/>
      <c r="BC41" s="337"/>
      <c r="BD41" s="337"/>
      <c r="BE41" s="383"/>
    </row>
    <row r="42" spans="1:57" ht="6.75" customHeight="1" x14ac:dyDescent="0.35">
      <c r="A42" s="335"/>
      <c r="B42" s="338"/>
      <c r="C42" s="335"/>
      <c r="D42" s="337"/>
      <c r="E42" s="337"/>
      <c r="F42" s="337"/>
      <c r="G42" s="383"/>
      <c r="H42" s="335"/>
      <c r="I42" s="337"/>
      <c r="J42" s="337"/>
      <c r="K42" s="337"/>
      <c r="L42" s="383"/>
      <c r="M42" s="409"/>
      <c r="N42" s="338"/>
      <c r="O42" s="335"/>
      <c r="P42" s="337"/>
      <c r="Q42" s="337"/>
      <c r="R42" s="337"/>
      <c r="S42" s="383"/>
      <c r="T42" s="95"/>
      <c r="U42" s="96">
        <v>1</v>
      </c>
      <c r="V42" s="96">
        <v>2</v>
      </c>
      <c r="W42" s="96">
        <v>3</v>
      </c>
      <c r="X42" s="96">
        <v>4</v>
      </c>
      <c r="Y42" s="96">
        <v>5</v>
      </c>
      <c r="Z42" s="402"/>
      <c r="AA42" s="402"/>
      <c r="AB42" s="403"/>
      <c r="AC42" s="407"/>
      <c r="AD42" s="97"/>
      <c r="AE42" s="96">
        <v>1</v>
      </c>
      <c r="AF42" s="96">
        <v>2</v>
      </c>
      <c r="AG42" s="96">
        <v>3</v>
      </c>
      <c r="AH42" s="96">
        <v>4</v>
      </c>
      <c r="AI42" s="96">
        <v>5</v>
      </c>
      <c r="AJ42" s="403"/>
      <c r="AK42" s="409"/>
      <c r="AL42" s="337"/>
      <c r="AM42" s="337"/>
      <c r="AN42" s="338"/>
      <c r="AO42" s="335"/>
      <c r="AP42" s="337"/>
      <c r="AQ42" s="337"/>
      <c r="AR42" s="337"/>
      <c r="AS42" s="383"/>
      <c r="AT42" s="409"/>
      <c r="AU42" s="338"/>
      <c r="AV42" s="335"/>
      <c r="AW42" s="337"/>
      <c r="AX42" s="337"/>
      <c r="AY42" s="337"/>
      <c r="AZ42" s="383"/>
      <c r="BA42" s="335"/>
      <c r="BB42" s="337"/>
      <c r="BC42" s="337"/>
      <c r="BD42" s="337"/>
      <c r="BE42" s="383"/>
    </row>
    <row r="43" spans="1:57" ht="6.75" customHeight="1" x14ac:dyDescent="0.35">
      <c r="A43" s="335"/>
      <c r="B43" s="338"/>
      <c r="C43" s="335"/>
      <c r="D43" s="337"/>
      <c r="E43" s="337"/>
      <c r="F43" s="337"/>
      <c r="G43" s="383"/>
      <c r="H43" s="335"/>
      <c r="I43" s="337"/>
      <c r="J43" s="337"/>
      <c r="K43" s="337"/>
      <c r="L43" s="383"/>
      <c r="M43" s="409"/>
      <c r="N43" s="338"/>
      <c r="O43" s="335"/>
      <c r="P43" s="337"/>
      <c r="Q43" s="337"/>
      <c r="R43" s="337"/>
      <c r="S43" s="383"/>
      <c r="T43" s="95"/>
      <c r="U43" s="96">
        <v>1</v>
      </c>
      <c r="V43" s="96">
        <v>2</v>
      </c>
      <c r="W43" s="96">
        <v>3</v>
      </c>
      <c r="X43" s="96">
        <v>4</v>
      </c>
      <c r="Y43" s="96">
        <v>5</v>
      </c>
      <c r="Z43" s="402"/>
      <c r="AA43" s="402"/>
      <c r="AB43" s="403"/>
      <c r="AC43" s="407"/>
      <c r="AD43" s="97"/>
      <c r="AE43" s="96">
        <v>1</v>
      </c>
      <c r="AF43" s="96">
        <v>2</v>
      </c>
      <c r="AG43" s="96">
        <v>3</v>
      </c>
      <c r="AH43" s="96">
        <v>4</v>
      </c>
      <c r="AI43" s="96">
        <v>5</v>
      </c>
      <c r="AJ43" s="403"/>
      <c r="AK43" s="409"/>
      <c r="AL43" s="337"/>
      <c r="AM43" s="337"/>
      <c r="AN43" s="338"/>
      <c r="AO43" s="335"/>
      <c r="AP43" s="337"/>
      <c r="AQ43" s="337"/>
      <c r="AR43" s="337"/>
      <c r="AS43" s="383"/>
      <c r="AT43" s="409"/>
      <c r="AU43" s="338"/>
      <c r="AV43" s="335"/>
      <c r="AW43" s="337"/>
      <c r="AX43" s="337"/>
      <c r="AY43" s="337"/>
      <c r="AZ43" s="383"/>
      <c r="BA43" s="335"/>
      <c r="BB43" s="337"/>
      <c r="BC43" s="337"/>
      <c r="BD43" s="337"/>
      <c r="BE43" s="383"/>
    </row>
    <row r="44" spans="1:57" ht="6.75" customHeight="1" x14ac:dyDescent="0.35">
      <c r="A44" s="335"/>
      <c r="B44" s="338"/>
      <c r="C44" s="335"/>
      <c r="D44" s="337"/>
      <c r="E44" s="337"/>
      <c r="F44" s="337"/>
      <c r="G44" s="383"/>
      <c r="H44" s="335"/>
      <c r="I44" s="337"/>
      <c r="J44" s="337"/>
      <c r="K44" s="337"/>
      <c r="L44" s="383"/>
      <c r="M44" s="409"/>
      <c r="N44" s="338"/>
      <c r="O44" s="335"/>
      <c r="P44" s="337"/>
      <c r="Q44" s="337"/>
      <c r="R44" s="337"/>
      <c r="S44" s="383"/>
      <c r="T44" s="95"/>
      <c r="U44" s="96">
        <v>1</v>
      </c>
      <c r="V44" s="96">
        <v>2</v>
      </c>
      <c r="W44" s="96">
        <v>3</v>
      </c>
      <c r="X44" s="96">
        <v>4</v>
      </c>
      <c r="Y44" s="96">
        <v>5</v>
      </c>
      <c r="Z44" s="402"/>
      <c r="AA44" s="402"/>
      <c r="AB44" s="403"/>
      <c r="AC44" s="407"/>
      <c r="AD44" s="97"/>
      <c r="AE44" s="96">
        <v>1</v>
      </c>
      <c r="AF44" s="96">
        <v>2</v>
      </c>
      <c r="AG44" s="96">
        <v>3</v>
      </c>
      <c r="AH44" s="96">
        <v>4</v>
      </c>
      <c r="AI44" s="96">
        <v>5</v>
      </c>
      <c r="AJ44" s="403"/>
      <c r="AK44" s="409"/>
      <c r="AL44" s="337"/>
      <c r="AM44" s="337"/>
      <c r="AN44" s="338"/>
      <c r="AO44" s="335"/>
      <c r="AP44" s="337"/>
      <c r="AQ44" s="337"/>
      <c r="AR44" s="337"/>
      <c r="AS44" s="383"/>
      <c r="AT44" s="409"/>
      <c r="AU44" s="338"/>
      <c r="AV44" s="335"/>
      <c r="AW44" s="337"/>
      <c r="AX44" s="337"/>
      <c r="AY44" s="337"/>
      <c r="AZ44" s="383"/>
      <c r="BA44" s="335"/>
      <c r="BB44" s="337"/>
      <c r="BC44" s="337"/>
      <c r="BD44" s="337"/>
      <c r="BE44" s="383"/>
    </row>
    <row r="45" spans="1:57" ht="6.75" customHeight="1" x14ac:dyDescent="0.35">
      <c r="A45" s="335"/>
      <c r="B45" s="338"/>
      <c r="C45" s="335"/>
      <c r="D45" s="337"/>
      <c r="E45" s="337"/>
      <c r="F45" s="337"/>
      <c r="G45" s="383"/>
      <c r="H45" s="335"/>
      <c r="I45" s="337"/>
      <c r="J45" s="337"/>
      <c r="K45" s="337"/>
      <c r="L45" s="383"/>
      <c r="M45" s="409"/>
      <c r="N45" s="338"/>
      <c r="O45" s="335"/>
      <c r="P45" s="337"/>
      <c r="Q45" s="337"/>
      <c r="R45" s="337"/>
      <c r="S45" s="383"/>
      <c r="T45" s="95"/>
      <c r="U45" s="96">
        <v>1</v>
      </c>
      <c r="V45" s="96">
        <v>2</v>
      </c>
      <c r="W45" s="96">
        <v>3</v>
      </c>
      <c r="X45" s="96">
        <v>4</v>
      </c>
      <c r="Y45" s="96">
        <v>5</v>
      </c>
      <c r="Z45" s="402"/>
      <c r="AA45" s="402"/>
      <c r="AB45" s="403"/>
      <c r="AC45" s="407"/>
      <c r="AD45" s="97"/>
      <c r="AE45" s="96">
        <v>1</v>
      </c>
      <c r="AF45" s="96">
        <v>2</v>
      </c>
      <c r="AG45" s="96">
        <v>3</v>
      </c>
      <c r="AH45" s="96">
        <v>4</v>
      </c>
      <c r="AI45" s="96">
        <v>5</v>
      </c>
      <c r="AJ45" s="403"/>
      <c r="AK45" s="409"/>
      <c r="AL45" s="337"/>
      <c r="AM45" s="337"/>
      <c r="AN45" s="338"/>
      <c r="AO45" s="335"/>
      <c r="AP45" s="337"/>
      <c r="AQ45" s="337"/>
      <c r="AR45" s="337"/>
      <c r="AS45" s="383"/>
      <c r="AT45" s="409"/>
      <c r="AU45" s="338"/>
      <c r="AV45" s="335"/>
      <c r="AW45" s="337"/>
      <c r="AX45" s="337"/>
      <c r="AY45" s="337"/>
      <c r="AZ45" s="383"/>
      <c r="BA45" s="335"/>
      <c r="BB45" s="337"/>
      <c r="BC45" s="337"/>
      <c r="BD45" s="337"/>
      <c r="BE45" s="383"/>
    </row>
    <row r="46" spans="1:57" ht="6.75" customHeight="1" x14ac:dyDescent="0.35">
      <c r="A46" s="335"/>
      <c r="B46" s="338"/>
      <c r="C46" s="335"/>
      <c r="D46" s="337"/>
      <c r="E46" s="337"/>
      <c r="F46" s="337"/>
      <c r="G46" s="383"/>
      <c r="H46" s="335"/>
      <c r="I46" s="337"/>
      <c r="J46" s="337"/>
      <c r="K46" s="337"/>
      <c r="L46" s="383"/>
      <c r="M46" s="409"/>
      <c r="N46" s="338"/>
      <c r="O46" s="335"/>
      <c r="P46" s="337"/>
      <c r="Q46" s="337"/>
      <c r="R46" s="337"/>
      <c r="S46" s="383"/>
      <c r="T46" s="95"/>
      <c r="U46" s="96">
        <v>1</v>
      </c>
      <c r="V46" s="96">
        <v>2</v>
      </c>
      <c r="W46" s="96">
        <v>3</v>
      </c>
      <c r="X46" s="96">
        <v>4</v>
      </c>
      <c r="Y46" s="96">
        <v>5</v>
      </c>
      <c r="Z46" s="402"/>
      <c r="AA46" s="402"/>
      <c r="AB46" s="403"/>
      <c r="AC46" s="407"/>
      <c r="AD46" s="97"/>
      <c r="AE46" s="96">
        <v>1</v>
      </c>
      <c r="AF46" s="96">
        <v>2</v>
      </c>
      <c r="AG46" s="96">
        <v>3</v>
      </c>
      <c r="AH46" s="96">
        <v>4</v>
      </c>
      <c r="AI46" s="96">
        <v>5</v>
      </c>
      <c r="AJ46" s="403"/>
      <c r="AK46" s="409"/>
      <c r="AL46" s="337"/>
      <c r="AM46" s="337"/>
      <c r="AN46" s="338"/>
      <c r="AO46" s="335"/>
      <c r="AP46" s="337"/>
      <c r="AQ46" s="337"/>
      <c r="AR46" s="337"/>
      <c r="AS46" s="383"/>
      <c r="AT46" s="409"/>
      <c r="AU46" s="338"/>
      <c r="AV46" s="335"/>
      <c r="AW46" s="337"/>
      <c r="AX46" s="337"/>
      <c r="AY46" s="337"/>
      <c r="AZ46" s="383"/>
      <c r="BA46" s="335"/>
      <c r="BB46" s="337"/>
      <c r="BC46" s="337"/>
      <c r="BD46" s="337"/>
      <c r="BE46" s="383"/>
    </row>
    <row r="47" spans="1:57" ht="6.75" customHeight="1" thickBot="1" x14ac:dyDescent="0.4">
      <c r="A47" s="335"/>
      <c r="B47" s="338"/>
      <c r="C47" s="335"/>
      <c r="D47" s="337"/>
      <c r="E47" s="337"/>
      <c r="F47" s="337"/>
      <c r="G47" s="383"/>
      <c r="H47" s="335"/>
      <c r="I47" s="337"/>
      <c r="J47" s="337"/>
      <c r="K47" s="337"/>
      <c r="L47" s="383"/>
      <c r="M47" s="409"/>
      <c r="N47" s="338"/>
      <c r="O47" s="335"/>
      <c r="P47" s="337"/>
      <c r="Q47" s="337"/>
      <c r="R47" s="337"/>
      <c r="S47" s="383"/>
      <c r="T47" s="98"/>
      <c r="U47" s="99">
        <v>1</v>
      </c>
      <c r="V47" s="99">
        <v>2</v>
      </c>
      <c r="W47" s="99">
        <v>3</v>
      </c>
      <c r="X47" s="99">
        <v>4</v>
      </c>
      <c r="Y47" s="99">
        <v>5</v>
      </c>
      <c r="Z47" s="404"/>
      <c r="AA47" s="404"/>
      <c r="AB47" s="405"/>
      <c r="AC47" s="408"/>
      <c r="AD47" s="100"/>
      <c r="AE47" s="99">
        <v>1</v>
      </c>
      <c r="AF47" s="99">
        <v>2</v>
      </c>
      <c r="AG47" s="99">
        <v>3</v>
      </c>
      <c r="AH47" s="99">
        <v>4</v>
      </c>
      <c r="AI47" s="99">
        <v>5</v>
      </c>
      <c r="AJ47" s="405"/>
      <c r="AK47" s="409"/>
      <c r="AL47" s="337"/>
      <c r="AM47" s="337"/>
      <c r="AN47" s="338"/>
      <c r="AO47" s="335"/>
      <c r="AP47" s="337"/>
      <c r="AQ47" s="337"/>
      <c r="AR47" s="337"/>
      <c r="AS47" s="383"/>
      <c r="AT47" s="409"/>
      <c r="AU47" s="338"/>
      <c r="AV47" s="335"/>
      <c r="AW47" s="337"/>
      <c r="AX47" s="337"/>
      <c r="AY47" s="337"/>
      <c r="AZ47" s="383"/>
      <c r="BA47" s="335"/>
      <c r="BB47" s="337"/>
      <c r="BC47" s="337"/>
      <c r="BD47" s="337"/>
      <c r="BE47" s="383"/>
    </row>
    <row r="48" spans="1:57" ht="6.75" customHeight="1" x14ac:dyDescent="0.35">
      <c r="A48" s="335"/>
      <c r="B48" s="338"/>
      <c r="C48" s="335"/>
      <c r="D48" s="337"/>
      <c r="E48" s="337"/>
      <c r="F48" s="337"/>
      <c r="G48" s="383"/>
      <c r="H48" s="335"/>
      <c r="I48" s="337"/>
      <c r="J48" s="337"/>
      <c r="K48" s="337"/>
      <c r="L48" s="383"/>
      <c r="M48" s="409"/>
      <c r="N48" s="338"/>
      <c r="O48" s="335"/>
      <c r="P48" s="337"/>
      <c r="Q48" s="337"/>
      <c r="R48" s="337"/>
      <c r="S48" s="383"/>
      <c r="T48" s="334"/>
      <c r="U48" s="342"/>
      <c r="V48" s="342"/>
      <c r="W48" s="342"/>
      <c r="X48" s="342"/>
      <c r="Y48" s="342"/>
      <c r="Z48" s="342"/>
      <c r="AA48" s="342"/>
      <c r="AB48" s="342"/>
      <c r="AC48" s="342"/>
      <c r="AD48" s="342"/>
      <c r="AE48" s="342"/>
      <c r="AF48" s="342"/>
      <c r="AG48" s="342"/>
      <c r="AH48" s="342"/>
      <c r="AI48" s="342"/>
      <c r="AJ48" s="382"/>
      <c r="AK48" s="409"/>
      <c r="AL48" s="337"/>
      <c r="AM48" s="337"/>
      <c r="AN48" s="338"/>
      <c r="AO48" s="335"/>
      <c r="AP48" s="337"/>
      <c r="AQ48" s="337"/>
      <c r="AR48" s="337"/>
      <c r="AS48" s="383"/>
      <c r="AT48" s="409"/>
      <c r="AU48" s="338"/>
      <c r="AV48" s="335"/>
      <c r="AW48" s="337"/>
      <c r="AX48" s="337"/>
      <c r="AY48" s="337"/>
      <c r="AZ48" s="383"/>
      <c r="BA48" s="335"/>
      <c r="BB48" s="337"/>
      <c r="BC48" s="337"/>
      <c r="BD48" s="337"/>
      <c r="BE48" s="383"/>
    </row>
    <row r="49" spans="1:57" ht="6.75" customHeight="1" x14ac:dyDescent="0.35">
      <c r="A49" s="335"/>
      <c r="B49" s="338"/>
      <c r="C49" s="335"/>
      <c r="D49" s="337"/>
      <c r="E49" s="337"/>
      <c r="F49" s="337"/>
      <c r="G49" s="383"/>
      <c r="H49" s="335"/>
      <c r="I49" s="337"/>
      <c r="J49" s="337"/>
      <c r="K49" s="337"/>
      <c r="L49" s="383"/>
      <c r="M49" s="409"/>
      <c r="N49" s="338"/>
      <c r="O49" s="335"/>
      <c r="P49" s="337"/>
      <c r="Q49" s="337"/>
      <c r="R49" s="337"/>
      <c r="S49" s="383"/>
      <c r="T49" s="335"/>
      <c r="U49" s="337"/>
      <c r="V49" s="337"/>
      <c r="W49" s="337"/>
      <c r="X49" s="337"/>
      <c r="Y49" s="337"/>
      <c r="Z49" s="337"/>
      <c r="AA49" s="337"/>
      <c r="AB49" s="337"/>
      <c r="AC49" s="337"/>
      <c r="AD49" s="337"/>
      <c r="AE49" s="337"/>
      <c r="AF49" s="337"/>
      <c r="AG49" s="337"/>
      <c r="AH49" s="337"/>
      <c r="AI49" s="337"/>
      <c r="AJ49" s="383"/>
      <c r="AK49" s="409"/>
      <c r="AL49" s="337"/>
      <c r="AM49" s="337"/>
      <c r="AN49" s="338"/>
      <c r="AO49" s="335"/>
      <c r="AP49" s="337"/>
      <c r="AQ49" s="337"/>
      <c r="AR49" s="337"/>
      <c r="AS49" s="383"/>
      <c r="AT49" s="409"/>
      <c r="AU49" s="338"/>
      <c r="AV49" s="335"/>
      <c r="AW49" s="337"/>
      <c r="AX49" s="337"/>
      <c r="AY49" s="337"/>
      <c r="AZ49" s="383"/>
      <c r="BA49" s="335"/>
      <c r="BB49" s="337"/>
      <c r="BC49" s="337"/>
      <c r="BD49" s="337"/>
      <c r="BE49" s="383"/>
    </row>
    <row r="50" spans="1:57" ht="6.75" customHeight="1" x14ac:dyDescent="0.35">
      <c r="A50" s="335"/>
      <c r="B50" s="338"/>
      <c r="C50" s="335"/>
      <c r="D50" s="337"/>
      <c r="E50" s="337"/>
      <c r="F50" s="337"/>
      <c r="G50" s="383"/>
      <c r="H50" s="335"/>
      <c r="I50" s="337"/>
      <c r="J50" s="337"/>
      <c r="K50" s="337"/>
      <c r="L50" s="383"/>
      <c r="M50" s="409"/>
      <c r="N50" s="338"/>
      <c r="O50" s="335"/>
      <c r="P50" s="337"/>
      <c r="Q50" s="337"/>
      <c r="R50" s="337"/>
      <c r="S50" s="383"/>
      <c r="T50" s="335"/>
      <c r="U50" s="337"/>
      <c r="V50" s="337"/>
      <c r="W50" s="337"/>
      <c r="X50" s="337"/>
      <c r="Y50" s="337"/>
      <c r="Z50" s="337"/>
      <c r="AA50" s="337"/>
      <c r="AB50" s="337"/>
      <c r="AC50" s="337"/>
      <c r="AD50" s="337"/>
      <c r="AE50" s="337"/>
      <c r="AF50" s="337"/>
      <c r="AG50" s="337"/>
      <c r="AH50" s="337"/>
      <c r="AI50" s="337"/>
      <c r="AJ50" s="383"/>
      <c r="AK50" s="409"/>
      <c r="AL50" s="337"/>
      <c r="AM50" s="337"/>
      <c r="AN50" s="338"/>
      <c r="AO50" s="335"/>
      <c r="AP50" s="337"/>
      <c r="AQ50" s="337"/>
      <c r="AR50" s="337"/>
      <c r="AS50" s="383"/>
      <c r="AT50" s="409"/>
      <c r="AU50" s="338"/>
      <c r="AV50" s="335"/>
      <c r="AW50" s="337"/>
      <c r="AX50" s="337"/>
      <c r="AY50" s="337"/>
      <c r="AZ50" s="383"/>
      <c r="BA50" s="335"/>
      <c r="BB50" s="337"/>
      <c r="BC50" s="337"/>
      <c r="BD50" s="337"/>
      <c r="BE50" s="383"/>
    </row>
    <row r="51" spans="1:57" ht="6.75" customHeight="1" thickBot="1" x14ac:dyDescent="0.4">
      <c r="A51" s="336"/>
      <c r="B51" s="412"/>
      <c r="C51" s="336"/>
      <c r="D51" s="366"/>
      <c r="E51" s="366"/>
      <c r="F51" s="366"/>
      <c r="G51" s="384"/>
      <c r="H51" s="336"/>
      <c r="I51" s="366"/>
      <c r="J51" s="366"/>
      <c r="K51" s="366"/>
      <c r="L51" s="384"/>
      <c r="M51" s="303"/>
      <c r="N51" s="412"/>
      <c r="O51" s="336"/>
      <c r="P51" s="366"/>
      <c r="Q51" s="366"/>
      <c r="R51" s="366"/>
      <c r="S51" s="384"/>
      <c r="T51" s="336"/>
      <c r="U51" s="366"/>
      <c r="V51" s="366"/>
      <c r="W51" s="366"/>
      <c r="X51" s="366"/>
      <c r="Y51" s="366"/>
      <c r="Z51" s="366"/>
      <c r="AA51" s="366"/>
      <c r="AB51" s="366"/>
      <c r="AC51" s="366"/>
      <c r="AD51" s="366"/>
      <c r="AE51" s="366"/>
      <c r="AF51" s="366"/>
      <c r="AG51" s="366"/>
      <c r="AH51" s="366"/>
      <c r="AI51" s="366"/>
      <c r="AJ51" s="384"/>
      <c r="AK51" s="303"/>
      <c r="AL51" s="366"/>
      <c r="AM51" s="366"/>
      <c r="AN51" s="412"/>
      <c r="AO51" s="336"/>
      <c r="AP51" s="366"/>
      <c r="AQ51" s="366"/>
      <c r="AR51" s="366"/>
      <c r="AS51" s="384"/>
      <c r="AT51" s="303"/>
      <c r="AU51" s="412"/>
      <c r="AV51" s="336"/>
      <c r="AW51" s="366"/>
      <c r="AX51" s="366"/>
      <c r="AY51" s="366"/>
      <c r="AZ51" s="384"/>
      <c r="BA51" s="336"/>
      <c r="BB51" s="366"/>
      <c r="BC51" s="366"/>
      <c r="BD51" s="366"/>
      <c r="BE51" s="384"/>
    </row>
    <row r="52" spans="1:57" ht="16.5" customHeight="1" x14ac:dyDescent="0.35">
      <c r="A52" s="413" t="s">
        <v>239</v>
      </c>
      <c r="B52" s="413"/>
      <c r="C52" s="413"/>
      <c r="D52" s="413"/>
      <c r="E52" s="413"/>
      <c r="F52" s="413"/>
      <c r="G52" s="413"/>
      <c r="H52" s="413"/>
      <c r="I52" s="413"/>
      <c r="J52" s="413"/>
      <c r="K52" s="413"/>
      <c r="L52" s="413"/>
      <c r="M52" s="413"/>
      <c r="N52" s="413"/>
      <c r="O52" s="413"/>
      <c r="P52" s="413"/>
      <c r="Q52" s="413"/>
      <c r="R52" s="413"/>
      <c r="S52" s="413"/>
      <c r="T52" s="413"/>
      <c r="U52" s="413"/>
      <c r="V52" s="413"/>
      <c r="W52" s="413"/>
      <c r="X52" s="413"/>
      <c r="Y52" s="413"/>
      <c r="Z52" s="413"/>
      <c r="AA52" s="413"/>
      <c r="AB52" s="413"/>
      <c r="AC52" s="413"/>
      <c r="AD52" s="413"/>
      <c r="AE52" s="413"/>
      <c r="AF52" s="413"/>
      <c r="AG52" s="413"/>
      <c r="AH52" s="413"/>
      <c r="AI52" s="413"/>
      <c r="AJ52" s="413"/>
      <c r="AK52" s="413"/>
      <c r="AL52" s="413"/>
      <c r="AM52" s="413"/>
      <c r="AN52" s="413"/>
      <c r="AO52" s="413"/>
      <c r="AP52" s="413"/>
      <c r="AQ52" s="413"/>
      <c r="AR52" s="413"/>
      <c r="AS52" s="413"/>
      <c r="AT52" s="413"/>
      <c r="AU52" s="413"/>
      <c r="AV52" s="413"/>
      <c r="AW52" s="413"/>
      <c r="AX52" s="413"/>
      <c r="AY52" s="413"/>
      <c r="AZ52" s="413"/>
      <c r="BA52" s="413"/>
      <c r="BB52" s="413"/>
      <c r="BC52" s="413"/>
      <c r="BD52" s="413"/>
      <c r="BE52" s="413"/>
    </row>
  </sheetData>
  <sheetProtection algorithmName="SHA-512" hashValue="Vd/itcwj3bdR5DDiegPBvYVyiuFdg1QfzRRPYxrFGPUJ+SIhvhl6BIVoKC1PAxrCfv9m4PUVyqXcvD9Asag1jQ==" saltValue="05OHXDWiDgmVpTKoyLhkJw==" spinCount="100000" sheet="1" objects="1" scenarios="1"/>
  <mergeCells count="457">
    <mergeCell ref="AV50:AV51"/>
    <mergeCell ref="AW50:AW51"/>
    <mergeCell ref="AX50:AX51"/>
    <mergeCell ref="AY50:AY51"/>
    <mergeCell ref="AZ50:AZ51"/>
    <mergeCell ref="A52:BE52"/>
    <mergeCell ref="AP50:AP51"/>
    <mergeCell ref="AQ50:AQ51"/>
    <mergeCell ref="AR50:AR51"/>
    <mergeCell ref="AS50:AS51"/>
    <mergeCell ref="AT50:AT51"/>
    <mergeCell ref="AU50:AU51"/>
    <mergeCell ref="Q50:Q51"/>
    <mergeCell ref="R50:R51"/>
    <mergeCell ref="S50:S51"/>
    <mergeCell ref="AK50:AL51"/>
    <mergeCell ref="AM50:AN51"/>
    <mergeCell ref="AO50:AO51"/>
    <mergeCell ref="F50:F51"/>
    <mergeCell ref="G50:G51"/>
    <mergeCell ref="M50:M51"/>
    <mergeCell ref="N50:N51"/>
    <mergeCell ref="O50:O51"/>
    <mergeCell ref="P50:P51"/>
    <mergeCell ref="AV48:AV49"/>
    <mergeCell ref="AW48:AW49"/>
    <mergeCell ref="AX48:AX49"/>
    <mergeCell ref="AY48:AY49"/>
    <mergeCell ref="AZ48:AZ49"/>
    <mergeCell ref="A50:A51"/>
    <mergeCell ref="B50:B51"/>
    <mergeCell ref="C50:C51"/>
    <mergeCell ref="D50:D51"/>
    <mergeCell ref="E50:E51"/>
    <mergeCell ref="AP48:AP49"/>
    <mergeCell ref="AQ48:AQ49"/>
    <mergeCell ref="AR48:AR49"/>
    <mergeCell ref="AS48:AS49"/>
    <mergeCell ref="AT48:AT49"/>
    <mergeCell ref="AU48:AU49"/>
    <mergeCell ref="R48:R49"/>
    <mergeCell ref="S48:S49"/>
    <mergeCell ref="T48:AJ51"/>
    <mergeCell ref="AK48:AL49"/>
    <mergeCell ref="AM48:AN49"/>
    <mergeCell ref="AO48:AO49"/>
    <mergeCell ref="G48:G49"/>
    <mergeCell ref="M48:M49"/>
    <mergeCell ref="N48:N49"/>
    <mergeCell ref="O48:O49"/>
    <mergeCell ref="P48:P49"/>
    <mergeCell ref="Q48:Q49"/>
    <mergeCell ref="AW46:AW47"/>
    <mergeCell ref="AX46:AX47"/>
    <mergeCell ref="AY46:AY47"/>
    <mergeCell ref="AZ46:AZ47"/>
    <mergeCell ref="A48:A49"/>
    <mergeCell ref="B48:B49"/>
    <mergeCell ref="C48:C49"/>
    <mergeCell ref="D48:D49"/>
    <mergeCell ref="E48:E49"/>
    <mergeCell ref="F48:F49"/>
    <mergeCell ref="AQ46:AQ47"/>
    <mergeCell ref="AR46:AR47"/>
    <mergeCell ref="AS46:AS47"/>
    <mergeCell ref="AT46:AT47"/>
    <mergeCell ref="AU46:AU47"/>
    <mergeCell ref="AV46:AV47"/>
    <mergeCell ref="R46:R47"/>
    <mergeCell ref="S46:S47"/>
    <mergeCell ref="AK46:AL47"/>
    <mergeCell ref="AM46:AN47"/>
    <mergeCell ref="AO46:AO47"/>
    <mergeCell ref="AP46:AP47"/>
    <mergeCell ref="G46:G47"/>
    <mergeCell ref="M46:M47"/>
    <mergeCell ref="N46:N47"/>
    <mergeCell ref="O46:O47"/>
    <mergeCell ref="P46:P47"/>
    <mergeCell ref="Q46:Q47"/>
    <mergeCell ref="AW44:AW45"/>
    <mergeCell ref="O44:O45"/>
    <mergeCell ref="P44:P45"/>
    <mergeCell ref="Q44:Q45"/>
    <mergeCell ref="AX44:AX45"/>
    <mergeCell ref="AY44:AY45"/>
    <mergeCell ref="AZ44:AZ45"/>
    <mergeCell ref="A46:A47"/>
    <mergeCell ref="B46:B47"/>
    <mergeCell ref="C46:C47"/>
    <mergeCell ref="D46:D47"/>
    <mergeCell ref="E46:E47"/>
    <mergeCell ref="F46:F47"/>
    <mergeCell ref="AQ44:AQ45"/>
    <mergeCell ref="AR44:AR45"/>
    <mergeCell ref="AS44:AS45"/>
    <mergeCell ref="AT44:AT45"/>
    <mergeCell ref="AU44:AU45"/>
    <mergeCell ref="AV44:AV45"/>
    <mergeCell ref="R44:R45"/>
    <mergeCell ref="S44:S45"/>
    <mergeCell ref="AK44:AL45"/>
    <mergeCell ref="AM44:AN45"/>
    <mergeCell ref="AO44:AO45"/>
    <mergeCell ref="AP44:AP45"/>
    <mergeCell ref="G44:G45"/>
    <mergeCell ref="M44:M45"/>
    <mergeCell ref="N44:N45"/>
    <mergeCell ref="A44:A45"/>
    <mergeCell ref="B44:B45"/>
    <mergeCell ref="C44:C45"/>
    <mergeCell ref="D44:D45"/>
    <mergeCell ref="E44:E45"/>
    <mergeCell ref="F44:F45"/>
    <mergeCell ref="AQ42:AQ43"/>
    <mergeCell ref="AR42:AR43"/>
    <mergeCell ref="AS42:AS43"/>
    <mergeCell ref="R42:R43"/>
    <mergeCell ref="S42:S43"/>
    <mergeCell ref="AK42:AL43"/>
    <mergeCell ref="AM42:AN43"/>
    <mergeCell ref="AO42:AO43"/>
    <mergeCell ref="AP42:AP43"/>
    <mergeCell ref="G42:G43"/>
    <mergeCell ref="M42:M43"/>
    <mergeCell ref="AX40:AX41"/>
    <mergeCell ref="AY40:AY41"/>
    <mergeCell ref="AZ40:AZ41"/>
    <mergeCell ref="A42:A43"/>
    <mergeCell ref="B42:B43"/>
    <mergeCell ref="C42:C43"/>
    <mergeCell ref="D42:D43"/>
    <mergeCell ref="E42:E43"/>
    <mergeCell ref="F42:F43"/>
    <mergeCell ref="AQ40:AQ41"/>
    <mergeCell ref="AR40:AR41"/>
    <mergeCell ref="AS40:AS41"/>
    <mergeCell ref="AT40:AT41"/>
    <mergeCell ref="AU40:AU41"/>
    <mergeCell ref="AV40:AV41"/>
    <mergeCell ref="R40:R41"/>
    <mergeCell ref="S40:S41"/>
    <mergeCell ref="AK40:AL41"/>
    <mergeCell ref="AM40:AN41"/>
    <mergeCell ref="AW42:AW43"/>
    <mergeCell ref="AX42:AX43"/>
    <mergeCell ref="AY42:AY43"/>
    <mergeCell ref="AZ42:AZ43"/>
    <mergeCell ref="AT42:AT43"/>
    <mergeCell ref="AW38:AW39"/>
    <mergeCell ref="O38:O39"/>
    <mergeCell ref="P38:P39"/>
    <mergeCell ref="Q38:Q39"/>
    <mergeCell ref="N42:N43"/>
    <mergeCell ref="O42:O43"/>
    <mergeCell ref="P42:P43"/>
    <mergeCell ref="Q42:Q43"/>
    <mergeCell ref="AW40:AW41"/>
    <mergeCell ref="AU42:AU43"/>
    <mergeCell ref="AV42:AV43"/>
    <mergeCell ref="M38:M39"/>
    <mergeCell ref="N38:N39"/>
    <mergeCell ref="AO40:AO41"/>
    <mergeCell ref="AP40:AP41"/>
    <mergeCell ref="G40:G41"/>
    <mergeCell ref="M40:M41"/>
    <mergeCell ref="N40:N41"/>
    <mergeCell ref="O40:O41"/>
    <mergeCell ref="P40:P41"/>
    <mergeCell ref="Q40:Q41"/>
    <mergeCell ref="G36:G37"/>
    <mergeCell ref="M36:M37"/>
    <mergeCell ref="AX38:AX39"/>
    <mergeCell ref="AY38:AY39"/>
    <mergeCell ref="AZ38:AZ39"/>
    <mergeCell ref="A40:A41"/>
    <mergeCell ref="B40:B41"/>
    <mergeCell ref="C40:C41"/>
    <mergeCell ref="D40:D41"/>
    <mergeCell ref="E40:E41"/>
    <mergeCell ref="F40:F41"/>
    <mergeCell ref="AQ38:AQ39"/>
    <mergeCell ref="AR38:AR39"/>
    <mergeCell ref="AS38:AS39"/>
    <mergeCell ref="AT38:AT39"/>
    <mergeCell ref="AU38:AU39"/>
    <mergeCell ref="AV38:AV39"/>
    <mergeCell ref="R38:R39"/>
    <mergeCell ref="S38:S39"/>
    <mergeCell ref="AK38:AL39"/>
    <mergeCell ref="AM38:AN39"/>
    <mergeCell ref="AO38:AO39"/>
    <mergeCell ref="AP38:AP39"/>
    <mergeCell ref="G38:G39"/>
    <mergeCell ref="E36:E37"/>
    <mergeCell ref="F36:F37"/>
    <mergeCell ref="AW36:AW37"/>
    <mergeCell ref="AX36:AX37"/>
    <mergeCell ref="AY36:AY37"/>
    <mergeCell ref="AZ36:AZ37"/>
    <mergeCell ref="A38:A39"/>
    <mergeCell ref="B38:B39"/>
    <mergeCell ref="C38:C39"/>
    <mergeCell ref="D38:D39"/>
    <mergeCell ref="E38:E39"/>
    <mergeCell ref="F38:F39"/>
    <mergeCell ref="AQ36:AQ37"/>
    <mergeCell ref="AR36:AR37"/>
    <mergeCell ref="AS36:AS37"/>
    <mergeCell ref="AT36:AT37"/>
    <mergeCell ref="AU36:AU37"/>
    <mergeCell ref="AV36:AV37"/>
    <mergeCell ref="R36:R37"/>
    <mergeCell ref="S36:S37"/>
    <mergeCell ref="AK36:AL37"/>
    <mergeCell ref="AM36:AN37"/>
    <mergeCell ref="AO36:AO37"/>
    <mergeCell ref="AP36:AP37"/>
    <mergeCell ref="AO34:AO35"/>
    <mergeCell ref="AP34:AP35"/>
    <mergeCell ref="AQ34:AQ35"/>
    <mergeCell ref="AR34:AR35"/>
    <mergeCell ref="AS34:AS35"/>
    <mergeCell ref="AT34:AT35"/>
    <mergeCell ref="N36:N37"/>
    <mergeCell ref="O36:O37"/>
    <mergeCell ref="P36:P37"/>
    <mergeCell ref="Q36:Q37"/>
    <mergeCell ref="A34:A35"/>
    <mergeCell ref="B34:B35"/>
    <mergeCell ref="C34:C35"/>
    <mergeCell ref="D34:D35"/>
    <mergeCell ref="E34:E35"/>
    <mergeCell ref="F34:F35"/>
    <mergeCell ref="H32:L51"/>
    <mergeCell ref="T32:AJ32"/>
    <mergeCell ref="AK32:AL32"/>
    <mergeCell ref="S34:S35"/>
    <mergeCell ref="Z34:AB47"/>
    <mergeCell ref="AC34:AC47"/>
    <mergeCell ref="AJ34:AJ47"/>
    <mergeCell ref="AK34:AL35"/>
    <mergeCell ref="G34:G35"/>
    <mergeCell ref="M34:M35"/>
    <mergeCell ref="N34:N35"/>
    <mergeCell ref="O34:O35"/>
    <mergeCell ref="P34:P35"/>
    <mergeCell ref="Q34:Q35"/>
    <mergeCell ref="A36:A37"/>
    <mergeCell ref="B36:B37"/>
    <mergeCell ref="C36:C37"/>
    <mergeCell ref="D36:D37"/>
    <mergeCell ref="AM32:AN32"/>
    <mergeCell ref="BA32:BE51"/>
    <mergeCell ref="T33:AB33"/>
    <mergeCell ref="AC33:AJ33"/>
    <mergeCell ref="AK33:AL33"/>
    <mergeCell ref="AM33:AN33"/>
    <mergeCell ref="R34:R35"/>
    <mergeCell ref="BA30:BE30"/>
    <mergeCell ref="U31:V31"/>
    <mergeCell ref="W31:X31"/>
    <mergeCell ref="Y31:Z31"/>
    <mergeCell ref="AA31:AB31"/>
    <mergeCell ref="AE31:AF31"/>
    <mergeCell ref="AG31:AH31"/>
    <mergeCell ref="AI31:AJ31"/>
    <mergeCell ref="AK31:AL31"/>
    <mergeCell ref="AM31:AN31"/>
    <mergeCell ref="AM34:AN35"/>
    <mergeCell ref="AU34:AU35"/>
    <mergeCell ref="AV34:AV35"/>
    <mergeCell ref="AW34:AW35"/>
    <mergeCell ref="AX34:AX35"/>
    <mergeCell ref="AY34:AY35"/>
    <mergeCell ref="AZ34:AZ35"/>
    <mergeCell ref="AI29:AJ29"/>
    <mergeCell ref="AK29:AL29"/>
    <mergeCell ref="AM29:AN29"/>
    <mergeCell ref="H30:L30"/>
    <mergeCell ref="T30:AB30"/>
    <mergeCell ref="AC30:AJ30"/>
    <mergeCell ref="AK30:AL30"/>
    <mergeCell ref="AM30:AN30"/>
    <mergeCell ref="U29:V29"/>
    <mergeCell ref="W29:X29"/>
    <mergeCell ref="Y29:Z29"/>
    <mergeCell ref="AA29:AB29"/>
    <mergeCell ref="AE29:AF29"/>
    <mergeCell ref="AG29:AH29"/>
    <mergeCell ref="AM27:AN27"/>
    <mergeCell ref="AO27:AS27"/>
    <mergeCell ref="AV27:AZ27"/>
    <mergeCell ref="BA27:BE27"/>
    <mergeCell ref="H28:L28"/>
    <mergeCell ref="T28:AB28"/>
    <mergeCell ref="AC28:AJ28"/>
    <mergeCell ref="AK28:AL28"/>
    <mergeCell ref="AM28:AN28"/>
    <mergeCell ref="BA28:BE28"/>
    <mergeCell ref="C27:G27"/>
    <mergeCell ref="H27:L27"/>
    <mergeCell ref="O27:S27"/>
    <mergeCell ref="T27:AB27"/>
    <mergeCell ref="AC27:AJ27"/>
    <mergeCell ref="AK27:AL27"/>
    <mergeCell ref="AI25:AJ25"/>
    <mergeCell ref="U26:V26"/>
    <mergeCell ref="W26:X26"/>
    <mergeCell ref="Y26:Z26"/>
    <mergeCell ref="AA26:AB26"/>
    <mergeCell ref="AI26:AJ26"/>
    <mergeCell ref="AC24:AD26"/>
    <mergeCell ref="AI24:AJ24"/>
    <mergeCell ref="AT24:AT26"/>
    <mergeCell ref="U25:V25"/>
    <mergeCell ref="W25:X25"/>
    <mergeCell ref="Y25:Z25"/>
    <mergeCell ref="AA25:AB25"/>
    <mergeCell ref="A24:A26"/>
    <mergeCell ref="M24:M26"/>
    <mergeCell ref="U24:V24"/>
    <mergeCell ref="W24:X24"/>
    <mergeCell ref="Y24:Z24"/>
    <mergeCell ref="AA24:AB24"/>
    <mergeCell ref="AE24:AH24"/>
    <mergeCell ref="AE25:AH25"/>
    <mergeCell ref="AE26:AH26"/>
    <mergeCell ref="B23:K23"/>
    <mergeCell ref="N23:Z23"/>
    <mergeCell ref="AA23:AB23"/>
    <mergeCell ref="AC23:AD23"/>
    <mergeCell ref="AE23:AR23"/>
    <mergeCell ref="AU23:BD23"/>
    <mergeCell ref="B22:K22"/>
    <mergeCell ref="N22:Z22"/>
    <mergeCell ref="AA22:AB22"/>
    <mergeCell ref="AC22:AD22"/>
    <mergeCell ref="AE22:AR22"/>
    <mergeCell ref="AU22:BD22"/>
    <mergeCell ref="B21:K21"/>
    <mergeCell ref="N21:Z21"/>
    <mergeCell ref="AA21:AB21"/>
    <mergeCell ref="AC21:AD21"/>
    <mergeCell ref="AE21:AR21"/>
    <mergeCell ref="AU21:BD21"/>
    <mergeCell ref="B20:K20"/>
    <mergeCell ref="N20:Z20"/>
    <mergeCell ref="AA20:AB20"/>
    <mergeCell ref="AC20:AD20"/>
    <mergeCell ref="AE20:AR20"/>
    <mergeCell ref="AU20:BD20"/>
    <mergeCell ref="B19:K19"/>
    <mergeCell ref="N19:Z19"/>
    <mergeCell ref="AA19:AB19"/>
    <mergeCell ref="AC19:AD19"/>
    <mergeCell ref="AE19:AR19"/>
    <mergeCell ref="AU19:BD19"/>
    <mergeCell ref="B18:K18"/>
    <mergeCell ref="N18:Z18"/>
    <mergeCell ref="AA18:AB18"/>
    <mergeCell ref="AC18:AD18"/>
    <mergeCell ref="AE18:AR18"/>
    <mergeCell ref="AU18:BD18"/>
    <mergeCell ref="B17:K17"/>
    <mergeCell ref="N17:Z17"/>
    <mergeCell ref="AA17:AB17"/>
    <mergeCell ref="AC17:AD17"/>
    <mergeCell ref="AE17:AR17"/>
    <mergeCell ref="AU17:BD17"/>
    <mergeCell ref="AZ15:BE15"/>
    <mergeCell ref="A16:H16"/>
    <mergeCell ref="I16:L16"/>
    <mergeCell ref="M16:N16"/>
    <mergeCell ref="U16:AB16"/>
    <mergeCell ref="AC16:AI16"/>
    <mergeCell ref="AP16:AS16"/>
    <mergeCell ref="AT16:AU16"/>
    <mergeCell ref="BB16:BE16"/>
    <mergeCell ref="G15:L15"/>
    <mergeCell ref="M15:O15"/>
    <mergeCell ref="T15:AB15"/>
    <mergeCell ref="AC15:AI15"/>
    <mergeCell ref="AN15:AS15"/>
    <mergeCell ref="AT15:AV15"/>
    <mergeCell ref="AU13:BD13"/>
    <mergeCell ref="A14:K14"/>
    <mergeCell ref="M14:Z14"/>
    <mergeCell ref="AA14:AB14"/>
    <mergeCell ref="AC14:AR14"/>
    <mergeCell ref="AT14:BD14"/>
    <mergeCell ref="A12:K12"/>
    <mergeCell ref="M12:Z12"/>
    <mergeCell ref="AA12:AB12"/>
    <mergeCell ref="AC12:AR12"/>
    <mergeCell ref="AT12:BD12"/>
    <mergeCell ref="B13:K13"/>
    <mergeCell ref="N13:Z13"/>
    <mergeCell ref="AA13:AB13"/>
    <mergeCell ref="AC13:AD13"/>
    <mergeCell ref="AE13:AR13"/>
    <mergeCell ref="B11:K11"/>
    <mergeCell ref="N11:Z11"/>
    <mergeCell ref="AA11:AB11"/>
    <mergeCell ref="AC11:AD11"/>
    <mergeCell ref="AE11:AR11"/>
    <mergeCell ref="AU11:BD11"/>
    <mergeCell ref="AU9:BD9"/>
    <mergeCell ref="A10:K10"/>
    <mergeCell ref="M10:Z10"/>
    <mergeCell ref="AA10:AB10"/>
    <mergeCell ref="AC10:AR10"/>
    <mergeCell ref="AT10:BD10"/>
    <mergeCell ref="A8:K8"/>
    <mergeCell ref="M8:Z8"/>
    <mergeCell ref="AA8:AB8"/>
    <mergeCell ref="AC8:AR8"/>
    <mergeCell ref="AT8:BD8"/>
    <mergeCell ref="B9:K9"/>
    <mergeCell ref="N9:Z9"/>
    <mergeCell ref="AA9:AB9"/>
    <mergeCell ref="AC9:AD9"/>
    <mergeCell ref="AE9:AR9"/>
    <mergeCell ref="B7:K7"/>
    <mergeCell ref="N7:Z7"/>
    <mergeCell ref="AA7:AB7"/>
    <mergeCell ref="AC7:AD7"/>
    <mergeCell ref="AE7:AR7"/>
    <mergeCell ref="AU7:BD7"/>
    <mergeCell ref="AU5:BD5"/>
    <mergeCell ref="A6:K6"/>
    <mergeCell ref="M6:Z6"/>
    <mergeCell ref="AA6:AB6"/>
    <mergeCell ref="AC6:AR6"/>
    <mergeCell ref="AT6:BD6"/>
    <mergeCell ref="A4:K4"/>
    <mergeCell ref="M4:Z4"/>
    <mergeCell ref="AA4:AB4"/>
    <mergeCell ref="AC4:AR4"/>
    <mergeCell ref="AT4:BD4"/>
    <mergeCell ref="B5:K5"/>
    <mergeCell ref="N5:Z5"/>
    <mergeCell ref="AA5:AB5"/>
    <mergeCell ref="AC5:AD5"/>
    <mergeCell ref="AE5:AR5"/>
    <mergeCell ref="B3:K3"/>
    <mergeCell ref="N3:Z3"/>
    <mergeCell ref="AA3:AB3"/>
    <mergeCell ref="AC3:AD3"/>
    <mergeCell ref="AE3:AR3"/>
    <mergeCell ref="AU3:BD3"/>
    <mergeCell ref="A1:BE1"/>
    <mergeCell ref="A2:L2"/>
    <mergeCell ref="M2:R2"/>
    <mergeCell ref="S2:AB2"/>
    <mergeCell ref="AC2:AS2"/>
    <mergeCell ref="AT2:BE2"/>
  </mergeCells>
  <pageMargins left="0.31496062992125984" right="0.23622047244094491" top="0.19685039370078741" bottom="0" header="0.11811023622047245" footer="0.11811023622047245"/>
  <pageSetup paperSize="9"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04F3-FA87-4E82-9F5E-016019FDD46D}">
  <sheetPr codeName="Hárok3"/>
  <dimension ref="A1:BE132"/>
  <sheetViews>
    <sheetView topLeftCell="A96" zoomScaleNormal="100" workbookViewId="0">
      <selection activeCell="D109" sqref="D109:N115"/>
    </sheetView>
  </sheetViews>
  <sheetFormatPr defaultColWidth="8.81640625" defaultRowHeight="14.5" x14ac:dyDescent="0.35"/>
  <sheetData>
    <row r="1" spans="1:57" ht="18.5" x14ac:dyDescent="0.35">
      <c r="A1" s="414" t="s">
        <v>68</v>
      </c>
      <c r="B1" s="414"/>
      <c r="C1" s="414"/>
      <c r="D1" s="414"/>
      <c r="E1" s="414"/>
      <c r="F1" s="414"/>
      <c r="G1" s="414"/>
      <c r="H1" s="414"/>
      <c r="I1" s="414"/>
      <c r="J1" s="414"/>
      <c r="K1" s="414"/>
      <c r="L1" s="414"/>
      <c r="M1" s="414"/>
      <c r="N1" s="414"/>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row>
    <row r="2" spans="1:57" x14ac:dyDescent="0.35">
      <c r="A2" s="415"/>
      <c r="B2" s="415"/>
      <c r="C2" s="415"/>
      <c r="D2" s="415"/>
      <c r="E2" s="415"/>
      <c r="F2" s="415"/>
      <c r="G2" s="415"/>
      <c r="H2" s="415"/>
      <c r="I2" s="415"/>
      <c r="J2" s="415"/>
      <c r="K2" s="415"/>
      <c r="L2" s="415"/>
      <c r="M2" s="415"/>
      <c r="N2" s="415"/>
    </row>
    <row r="3" spans="1:57" ht="15" customHeight="1" x14ac:dyDescent="0.35">
      <c r="A3" s="416" t="s">
        <v>129</v>
      </c>
      <c r="B3" s="416"/>
      <c r="C3" s="416"/>
      <c r="D3" s="416"/>
      <c r="E3" s="416"/>
      <c r="F3" s="416"/>
      <c r="G3" s="416"/>
      <c r="H3" s="416"/>
      <c r="I3" s="416"/>
      <c r="J3" s="416"/>
      <c r="K3" s="416"/>
      <c r="L3" s="416"/>
      <c r="M3" s="416"/>
      <c r="N3" s="416"/>
    </row>
    <row r="4" spans="1:57" x14ac:dyDescent="0.35">
      <c r="A4" s="416"/>
      <c r="B4" s="416"/>
      <c r="C4" s="416"/>
      <c r="D4" s="416"/>
      <c r="E4" s="416"/>
      <c r="F4" s="416"/>
      <c r="G4" s="416"/>
      <c r="H4" s="416"/>
      <c r="I4" s="416"/>
      <c r="J4" s="416"/>
      <c r="K4" s="416"/>
      <c r="L4" s="416"/>
      <c r="M4" s="416"/>
      <c r="N4" s="416"/>
    </row>
    <row r="5" spans="1:57" x14ac:dyDescent="0.35">
      <c r="A5" s="416"/>
      <c r="B5" s="416"/>
      <c r="C5" s="416"/>
      <c r="D5" s="416"/>
      <c r="E5" s="416"/>
      <c r="F5" s="416"/>
      <c r="G5" s="416"/>
      <c r="H5" s="416"/>
      <c r="I5" s="416"/>
      <c r="J5" s="416"/>
      <c r="K5" s="416"/>
      <c r="L5" s="416"/>
      <c r="M5" s="416"/>
      <c r="N5" s="416"/>
    </row>
    <row r="6" spans="1:57" x14ac:dyDescent="0.35">
      <c r="A6" s="416"/>
      <c r="B6" s="416"/>
      <c r="C6" s="416"/>
      <c r="D6" s="416"/>
      <c r="E6" s="416"/>
      <c r="F6" s="416"/>
      <c r="G6" s="416"/>
      <c r="H6" s="416"/>
      <c r="I6" s="416"/>
      <c r="J6" s="416"/>
      <c r="K6" s="416"/>
      <c r="L6" s="416"/>
      <c r="M6" s="416"/>
      <c r="N6" s="416"/>
    </row>
    <row r="7" spans="1:57" x14ac:dyDescent="0.35">
      <c r="A7" s="416"/>
      <c r="B7" s="416"/>
      <c r="C7" s="416"/>
      <c r="D7" s="416"/>
      <c r="E7" s="416"/>
      <c r="F7" s="416"/>
      <c r="G7" s="416"/>
      <c r="H7" s="416"/>
      <c r="I7" s="416"/>
      <c r="J7" s="416"/>
      <c r="K7" s="416"/>
      <c r="L7" s="416"/>
      <c r="M7" s="416"/>
      <c r="N7" s="416"/>
    </row>
    <row r="8" spans="1:57" x14ac:dyDescent="0.35">
      <c r="A8" s="416" t="s">
        <v>130</v>
      </c>
      <c r="B8" s="416"/>
      <c r="C8" s="416"/>
      <c r="D8" s="416"/>
      <c r="E8" s="416"/>
      <c r="F8" s="416"/>
      <c r="G8" s="416"/>
      <c r="H8" s="416"/>
      <c r="I8" s="416"/>
      <c r="J8" s="416"/>
      <c r="K8" s="416"/>
      <c r="L8" s="416"/>
      <c r="M8" s="416"/>
      <c r="N8" s="416"/>
    </row>
    <row r="9" spans="1:57" x14ac:dyDescent="0.35">
      <c r="A9" s="417"/>
      <c r="B9" s="417"/>
      <c r="C9" s="417"/>
      <c r="D9" s="417"/>
      <c r="E9" s="417"/>
      <c r="F9" s="417"/>
      <c r="G9" s="417"/>
      <c r="H9" s="417"/>
      <c r="I9" s="417"/>
      <c r="J9" s="417"/>
      <c r="K9" s="417"/>
      <c r="L9" s="417"/>
      <c r="M9" s="417"/>
      <c r="N9" s="417"/>
    </row>
    <row r="10" spans="1:57" x14ac:dyDescent="0.35">
      <c r="A10" s="416" t="s">
        <v>131</v>
      </c>
      <c r="B10" s="416"/>
      <c r="C10" s="416"/>
      <c r="D10" s="416" t="s">
        <v>140</v>
      </c>
      <c r="E10" s="416"/>
      <c r="F10" s="416"/>
      <c r="G10" s="416"/>
      <c r="H10" s="416"/>
      <c r="I10" s="416"/>
      <c r="J10" s="416"/>
      <c r="K10" s="416"/>
      <c r="L10" s="416"/>
      <c r="M10" s="416"/>
      <c r="N10" s="416"/>
    </row>
    <row r="11" spans="1:57" x14ac:dyDescent="0.35">
      <c r="A11" s="416" t="s">
        <v>132</v>
      </c>
      <c r="B11" s="416"/>
      <c r="C11" s="416"/>
      <c r="D11" s="416" t="s">
        <v>141</v>
      </c>
      <c r="E11" s="416"/>
      <c r="F11" s="416"/>
      <c r="G11" s="416"/>
      <c r="H11" s="416"/>
      <c r="I11" s="416"/>
      <c r="J11" s="416"/>
      <c r="K11" s="416"/>
      <c r="L11" s="416"/>
      <c r="M11" s="416"/>
      <c r="N11" s="416"/>
    </row>
    <row r="12" spans="1:57" x14ac:dyDescent="0.35">
      <c r="A12" s="416" t="s">
        <v>133</v>
      </c>
      <c r="B12" s="416"/>
      <c r="C12" s="416"/>
      <c r="D12" s="416" t="s">
        <v>142</v>
      </c>
      <c r="E12" s="416"/>
      <c r="F12" s="416"/>
      <c r="G12" s="416"/>
      <c r="H12" s="416"/>
      <c r="I12" s="416"/>
      <c r="J12" s="416"/>
      <c r="K12" s="416"/>
      <c r="L12" s="416"/>
      <c r="M12" s="416"/>
      <c r="N12" s="416"/>
    </row>
    <row r="13" spans="1:57" x14ac:dyDescent="0.35">
      <c r="A13" s="416" t="s">
        <v>134</v>
      </c>
      <c r="B13" s="416"/>
      <c r="C13" s="416"/>
      <c r="D13" s="416" t="s">
        <v>143</v>
      </c>
      <c r="E13" s="416"/>
      <c r="F13" s="416"/>
      <c r="G13" s="416"/>
      <c r="H13" s="416"/>
      <c r="I13" s="416"/>
      <c r="J13" s="416"/>
      <c r="K13" s="416"/>
      <c r="L13" s="416"/>
      <c r="M13" s="416"/>
      <c r="N13" s="416"/>
    </row>
    <row r="14" spans="1:57" x14ac:dyDescent="0.35">
      <c r="A14" s="416" t="s">
        <v>135</v>
      </c>
      <c r="B14" s="416"/>
      <c r="C14" s="416"/>
      <c r="D14" s="416" t="s">
        <v>144</v>
      </c>
      <c r="E14" s="416"/>
      <c r="F14" s="416"/>
      <c r="G14" s="416"/>
      <c r="H14" s="416"/>
      <c r="I14" s="416"/>
      <c r="J14" s="416"/>
      <c r="K14" s="416"/>
      <c r="L14" s="416"/>
      <c r="M14" s="416"/>
      <c r="N14" s="416"/>
    </row>
    <row r="15" spans="1:57" x14ac:dyDescent="0.35">
      <c r="A15" s="416" t="s">
        <v>136</v>
      </c>
      <c r="B15" s="416"/>
      <c r="C15" s="416"/>
      <c r="D15" s="416" t="s">
        <v>147</v>
      </c>
      <c r="E15" s="416"/>
      <c r="F15" s="416"/>
      <c r="G15" s="416"/>
      <c r="H15" s="416"/>
      <c r="I15" s="416"/>
      <c r="J15" s="416"/>
      <c r="K15" s="416"/>
      <c r="L15" s="416"/>
      <c r="M15" s="416"/>
      <c r="N15" s="416"/>
    </row>
    <row r="16" spans="1:57" x14ac:dyDescent="0.35">
      <c r="A16" s="416" t="s">
        <v>137</v>
      </c>
      <c r="B16" s="416"/>
      <c r="C16" s="416"/>
      <c r="D16" s="416" t="s">
        <v>146</v>
      </c>
      <c r="E16" s="416"/>
      <c r="F16" s="416"/>
      <c r="G16" s="416"/>
      <c r="H16" s="416"/>
      <c r="I16" s="416"/>
      <c r="J16" s="416"/>
      <c r="K16" s="416"/>
      <c r="L16" s="416"/>
      <c r="M16" s="416"/>
      <c r="N16" s="416"/>
    </row>
    <row r="17" spans="1:14" x14ac:dyDescent="0.35">
      <c r="A17" s="416" t="s">
        <v>138</v>
      </c>
      <c r="B17" s="416"/>
      <c r="C17" s="416"/>
      <c r="D17" s="416" t="s">
        <v>145</v>
      </c>
      <c r="E17" s="416"/>
      <c r="F17" s="416"/>
      <c r="G17" s="416"/>
      <c r="H17" s="416"/>
      <c r="I17" s="416"/>
      <c r="J17" s="416"/>
      <c r="K17" s="416"/>
      <c r="L17" s="416"/>
      <c r="M17" s="416"/>
      <c r="N17" s="416"/>
    </row>
    <row r="18" spans="1:14" x14ac:dyDescent="0.35">
      <c r="A18" s="416" t="s">
        <v>139</v>
      </c>
      <c r="B18" s="416"/>
      <c r="C18" s="416"/>
      <c r="D18" s="416" t="s">
        <v>148</v>
      </c>
      <c r="E18" s="416"/>
      <c r="F18" s="416"/>
      <c r="G18" s="416"/>
      <c r="H18" s="416"/>
      <c r="I18" s="416"/>
      <c r="J18" s="416"/>
      <c r="K18" s="416"/>
      <c r="L18" s="416"/>
      <c r="M18" s="416"/>
      <c r="N18" s="416"/>
    </row>
    <row r="19" spans="1:14" ht="15" customHeight="1" x14ac:dyDescent="0.35">
      <c r="A19" s="419" t="s">
        <v>149</v>
      </c>
      <c r="B19" s="419"/>
      <c r="C19" s="419"/>
      <c r="D19" s="416" t="s">
        <v>150</v>
      </c>
      <c r="E19" s="416"/>
      <c r="F19" s="416"/>
      <c r="G19" s="416"/>
      <c r="H19" s="416"/>
      <c r="I19" s="416"/>
      <c r="J19" s="416"/>
      <c r="K19" s="416"/>
      <c r="L19" s="416"/>
      <c r="M19" s="416"/>
      <c r="N19" s="416"/>
    </row>
    <row r="20" spans="1:14" x14ac:dyDescent="0.35">
      <c r="A20" s="122"/>
      <c r="B20" s="122"/>
      <c r="C20" s="122"/>
      <c r="D20" s="416"/>
      <c r="E20" s="416"/>
      <c r="F20" s="416"/>
      <c r="G20" s="416"/>
      <c r="H20" s="416"/>
      <c r="I20" s="416"/>
      <c r="J20" s="416"/>
      <c r="K20" s="416"/>
      <c r="L20" s="416"/>
      <c r="M20" s="416"/>
      <c r="N20" s="416"/>
    </row>
    <row r="21" spans="1:14" x14ac:dyDescent="0.35">
      <c r="A21" s="122"/>
      <c r="B21" s="122"/>
      <c r="C21" s="122"/>
      <c r="D21" s="121"/>
      <c r="E21" s="121"/>
      <c r="F21" s="121"/>
      <c r="G21" s="121"/>
      <c r="H21" s="121"/>
      <c r="I21" s="121"/>
      <c r="J21" s="121"/>
      <c r="K21" s="121"/>
      <c r="L21" s="121"/>
      <c r="M21" s="121"/>
      <c r="N21" s="121"/>
    </row>
    <row r="22" spans="1:14" x14ac:dyDescent="0.35">
      <c r="A22" s="417"/>
      <c r="B22" s="417"/>
      <c r="C22" s="417"/>
      <c r="D22" s="417"/>
      <c r="E22" s="417"/>
      <c r="F22" s="417"/>
      <c r="G22" s="417"/>
      <c r="H22" s="417"/>
      <c r="I22" s="417"/>
      <c r="J22" s="417"/>
      <c r="K22" s="417"/>
      <c r="L22" s="417"/>
      <c r="M22" s="417"/>
      <c r="N22" s="417"/>
    </row>
    <row r="23" spans="1:14" ht="15.5" x14ac:dyDescent="0.35">
      <c r="A23" s="418" t="s">
        <v>151</v>
      </c>
      <c r="B23" s="418"/>
      <c r="C23" s="418"/>
      <c r="D23" s="418"/>
      <c r="E23" s="418"/>
      <c r="F23" s="418"/>
      <c r="G23" s="418"/>
      <c r="H23" s="418"/>
      <c r="I23" s="418"/>
      <c r="J23" s="418"/>
      <c r="K23" s="418"/>
      <c r="L23" s="418"/>
      <c r="M23" s="418"/>
      <c r="N23" s="418"/>
    </row>
    <row r="24" spans="1:14" x14ac:dyDescent="0.35">
      <c r="A24" s="416"/>
      <c r="B24" s="416"/>
      <c r="C24" s="416"/>
      <c r="D24" s="416"/>
      <c r="E24" s="416"/>
      <c r="F24" s="416"/>
      <c r="G24" s="416"/>
      <c r="H24" s="416"/>
      <c r="I24" s="416"/>
      <c r="J24" s="416"/>
      <c r="K24" s="416"/>
      <c r="L24" s="416"/>
      <c r="M24" s="416"/>
      <c r="N24" s="416"/>
    </row>
    <row r="25" spans="1:14" x14ac:dyDescent="0.35">
      <c r="A25" s="416" t="s">
        <v>152</v>
      </c>
      <c r="B25" s="416"/>
      <c r="C25" s="416"/>
      <c r="D25" s="416" t="s">
        <v>153</v>
      </c>
      <c r="E25" s="416"/>
      <c r="F25" s="416"/>
      <c r="G25" s="416"/>
      <c r="H25" s="416"/>
      <c r="I25" s="416"/>
      <c r="J25" s="416"/>
      <c r="K25" s="416"/>
      <c r="L25" s="416"/>
      <c r="M25" s="416"/>
      <c r="N25" s="416"/>
    </row>
    <row r="26" spans="1:14" x14ac:dyDescent="0.35">
      <c r="A26" s="416" t="s">
        <v>79</v>
      </c>
      <c r="B26" s="416"/>
      <c r="C26" s="416"/>
      <c r="D26" s="416" t="s">
        <v>154</v>
      </c>
      <c r="E26" s="416"/>
      <c r="F26" s="416"/>
      <c r="G26" s="416"/>
      <c r="H26" s="416"/>
      <c r="I26" s="416"/>
      <c r="J26" s="416"/>
      <c r="K26" s="416"/>
      <c r="L26" s="416"/>
      <c r="M26" s="416"/>
      <c r="N26" s="416"/>
    </row>
    <row r="27" spans="1:14" x14ac:dyDescent="0.35">
      <c r="A27" s="416"/>
      <c r="B27" s="416"/>
      <c r="C27" s="416"/>
      <c r="D27" s="416"/>
      <c r="E27" s="416"/>
      <c r="F27" s="416"/>
      <c r="G27" s="416"/>
      <c r="H27" s="416"/>
      <c r="I27" s="416"/>
      <c r="J27" s="416"/>
      <c r="K27" s="416"/>
      <c r="L27" s="416"/>
      <c r="M27" s="416"/>
      <c r="N27" s="416"/>
    </row>
    <row r="28" spans="1:14" x14ac:dyDescent="0.35">
      <c r="A28" s="416" t="s">
        <v>155</v>
      </c>
      <c r="B28" s="416"/>
      <c r="C28" s="416"/>
      <c r="D28" s="416" t="s">
        <v>156</v>
      </c>
      <c r="E28" s="416"/>
      <c r="F28" s="416"/>
      <c r="G28" s="416"/>
      <c r="H28" s="416"/>
      <c r="I28" s="416"/>
      <c r="J28" s="416"/>
      <c r="K28" s="416"/>
      <c r="L28" s="416"/>
      <c r="M28" s="416"/>
      <c r="N28" s="416"/>
    </row>
    <row r="29" spans="1:14" x14ac:dyDescent="0.35">
      <c r="A29" s="416"/>
      <c r="B29" s="416"/>
      <c r="C29" s="416"/>
      <c r="D29" s="416"/>
      <c r="E29" s="416"/>
      <c r="F29" s="416"/>
      <c r="G29" s="416"/>
      <c r="H29" s="416"/>
      <c r="I29" s="416"/>
      <c r="J29" s="416"/>
      <c r="K29" s="416"/>
      <c r="L29" s="416"/>
      <c r="M29" s="416"/>
      <c r="N29" s="416"/>
    </row>
    <row r="30" spans="1:14" x14ac:dyDescent="0.35">
      <c r="A30" s="416" t="s">
        <v>157</v>
      </c>
      <c r="B30" s="416"/>
      <c r="C30" s="416"/>
      <c r="D30" s="416" t="s">
        <v>158</v>
      </c>
      <c r="E30" s="416"/>
      <c r="F30" s="416"/>
      <c r="G30" s="416"/>
      <c r="H30" s="416"/>
      <c r="I30" s="416"/>
      <c r="J30" s="416"/>
      <c r="K30" s="416"/>
      <c r="L30" s="416"/>
      <c r="M30" s="416"/>
      <c r="N30" s="416"/>
    </row>
    <row r="31" spans="1:14" x14ac:dyDescent="0.35">
      <c r="A31" s="416" t="s">
        <v>159</v>
      </c>
      <c r="B31" s="416"/>
      <c r="C31" s="416"/>
      <c r="D31" s="416" t="s">
        <v>160</v>
      </c>
      <c r="E31" s="416"/>
      <c r="F31" s="416"/>
      <c r="G31" s="416"/>
      <c r="H31" s="416"/>
      <c r="I31" s="416"/>
      <c r="J31" s="416"/>
      <c r="K31" s="416"/>
      <c r="L31" s="416"/>
      <c r="M31" s="416"/>
      <c r="N31" s="416"/>
    </row>
    <row r="32" spans="1:14" ht="15" customHeight="1" x14ac:dyDescent="0.35">
      <c r="A32" s="416" t="s">
        <v>161</v>
      </c>
      <c r="B32" s="416"/>
      <c r="C32" s="416"/>
      <c r="D32" s="416" t="s">
        <v>162</v>
      </c>
      <c r="E32" s="416"/>
      <c r="F32" s="416"/>
      <c r="G32" s="416"/>
      <c r="H32" s="416"/>
      <c r="I32" s="416"/>
      <c r="J32" s="416"/>
      <c r="K32" s="416"/>
      <c r="L32" s="416"/>
      <c r="M32" s="416"/>
      <c r="N32" s="416"/>
    </row>
    <row r="33" spans="1:14" x14ac:dyDescent="0.35">
      <c r="A33" s="416"/>
      <c r="B33" s="416"/>
      <c r="C33" s="416"/>
      <c r="D33" s="416"/>
      <c r="E33" s="416"/>
      <c r="F33" s="416"/>
      <c r="G33" s="416"/>
      <c r="H33" s="416"/>
      <c r="I33" s="416"/>
      <c r="J33" s="416"/>
      <c r="K33" s="416"/>
      <c r="L33" s="416"/>
      <c r="M33" s="416"/>
      <c r="N33" s="416"/>
    </row>
    <row r="34" spans="1:14" x14ac:dyDescent="0.35">
      <c r="A34" s="121"/>
      <c r="B34" s="121"/>
      <c r="C34" s="121"/>
      <c r="D34" s="121"/>
      <c r="E34" s="121"/>
      <c r="F34" s="121"/>
      <c r="G34" s="121"/>
      <c r="H34" s="121"/>
      <c r="I34" s="121"/>
      <c r="J34" s="121"/>
      <c r="K34" s="121"/>
      <c r="L34" s="121"/>
      <c r="M34" s="121"/>
      <c r="N34" s="121"/>
    </row>
    <row r="35" spans="1:14" x14ac:dyDescent="0.35">
      <c r="A35" s="416"/>
      <c r="B35" s="416"/>
      <c r="C35" s="416"/>
      <c r="D35" s="416"/>
      <c r="E35" s="416"/>
      <c r="F35" s="416"/>
      <c r="G35" s="416"/>
      <c r="H35" s="416"/>
      <c r="I35" s="416"/>
      <c r="J35" s="416"/>
      <c r="K35" s="416"/>
      <c r="L35" s="416"/>
      <c r="M35" s="416"/>
      <c r="N35" s="416"/>
    </row>
    <row r="36" spans="1:14" ht="15.5" x14ac:dyDescent="0.35">
      <c r="A36" s="418" t="s">
        <v>52</v>
      </c>
      <c r="B36" s="418"/>
      <c r="C36" s="418"/>
      <c r="D36" s="418"/>
      <c r="E36" s="418"/>
      <c r="F36" s="418"/>
      <c r="G36" s="418"/>
      <c r="H36" s="418"/>
      <c r="I36" s="418"/>
      <c r="J36" s="418"/>
      <c r="K36" s="418"/>
      <c r="L36" s="418"/>
      <c r="M36" s="418"/>
      <c r="N36" s="418"/>
    </row>
    <row r="37" spans="1:14" x14ac:dyDescent="0.35">
      <c r="A37" s="415"/>
      <c r="B37" s="415"/>
      <c r="C37" s="415"/>
      <c r="D37" s="415"/>
      <c r="E37" s="415"/>
      <c r="F37" s="415"/>
      <c r="G37" s="415"/>
      <c r="H37" s="415"/>
      <c r="I37" s="415"/>
      <c r="J37" s="415"/>
      <c r="K37" s="415"/>
      <c r="L37" s="415"/>
      <c r="M37" s="415"/>
      <c r="N37" s="415"/>
    </row>
    <row r="38" spans="1:14" x14ac:dyDescent="0.35">
      <c r="A38" s="420" t="s">
        <v>163</v>
      </c>
      <c r="B38" s="420"/>
      <c r="C38" s="420"/>
      <c r="D38" s="420"/>
      <c r="E38" s="420"/>
      <c r="F38" s="420"/>
      <c r="G38" s="420"/>
      <c r="H38" s="420"/>
      <c r="I38" s="420"/>
      <c r="J38" s="420"/>
      <c r="K38" s="420"/>
      <c r="L38" s="420"/>
      <c r="M38" s="420"/>
      <c r="N38" s="420"/>
    </row>
    <row r="39" spans="1:14" x14ac:dyDescent="0.35">
      <c r="A39" s="123"/>
      <c r="B39" s="123"/>
      <c r="C39" s="123"/>
      <c r="D39" s="123"/>
      <c r="E39" s="123"/>
      <c r="F39" s="123"/>
      <c r="G39" s="123"/>
      <c r="H39" s="123"/>
      <c r="I39" s="123"/>
      <c r="J39" s="123"/>
      <c r="K39" s="123"/>
      <c r="L39" s="123"/>
      <c r="M39" s="123"/>
      <c r="N39" s="123"/>
    </row>
    <row r="40" spans="1:14" x14ac:dyDescent="0.35">
      <c r="A40" s="416" t="s">
        <v>152</v>
      </c>
      <c r="B40" s="416"/>
      <c r="C40" s="416"/>
      <c r="D40" s="416" t="s">
        <v>164</v>
      </c>
      <c r="E40" s="416"/>
      <c r="F40" s="416"/>
      <c r="G40" s="416"/>
      <c r="H40" s="416"/>
      <c r="I40" s="416"/>
      <c r="J40" s="416"/>
      <c r="K40" s="416"/>
      <c r="L40" s="416"/>
      <c r="M40" s="416"/>
      <c r="N40" s="416"/>
    </row>
    <row r="41" spans="1:14" x14ac:dyDescent="0.35">
      <c r="A41" s="416" t="s">
        <v>165</v>
      </c>
      <c r="B41" s="416"/>
      <c r="C41" s="416"/>
      <c r="D41" s="416" t="s">
        <v>166</v>
      </c>
      <c r="E41" s="416"/>
      <c r="F41" s="416"/>
      <c r="G41" s="416"/>
      <c r="H41" s="416"/>
      <c r="I41" s="416"/>
      <c r="J41" s="416"/>
      <c r="K41" s="416"/>
      <c r="L41" s="416"/>
      <c r="M41" s="416"/>
      <c r="N41" s="416"/>
    </row>
    <row r="42" spans="1:14" x14ac:dyDescent="0.35">
      <c r="A42" s="415"/>
      <c r="B42" s="415"/>
      <c r="C42" s="415"/>
      <c r="D42" s="415"/>
      <c r="E42" s="415"/>
      <c r="F42" s="415"/>
      <c r="G42" s="415"/>
      <c r="H42" s="415"/>
      <c r="I42" s="415"/>
      <c r="J42" s="415"/>
      <c r="K42" s="415"/>
      <c r="L42" s="415"/>
      <c r="M42" s="415"/>
      <c r="N42" s="415"/>
    </row>
    <row r="43" spans="1:14" x14ac:dyDescent="0.35">
      <c r="A43" s="415"/>
      <c r="B43" s="415"/>
      <c r="C43" s="415"/>
      <c r="D43" s="415"/>
      <c r="E43" s="415"/>
      <c r="F43" s="415"/>
      <c r="G43" s="415"/>
      <c r="H43" s="415"/>
      <c r="I43" s="415"/>
      <c r="J43" s="415"/>
      <c r="K43" s="415"/>
      <c r="L43" s="415"/>
      <c r="M43" s="415"/>
      <c r="N43" s="415"/>
    </row>
    <row r="44" spans="1:14" ht="15.5" x14ac:dyDescent="0.35">
      <c r="A44" s="418" t="s">
        <v>168</v>
      </c>
      <c r="B44" s="418"/>
      <c r="C44" s="418"/>
      <c r="D44" s="418"/>
      <c r="E44" s="418"/>
      <c r="F44" s="418"/>
      <c r="G44" s="418"/>
      <c r="H44" s="418"/>
      <c r="I44" s="418"/>
      <c r="J44" s="418"/>
      <c r="K44" s="418"/>
      <c r="L44" s="418"/>
      <c r="M44" s="418"/>
      <c r="N44" s="418"/>
    </row>
    <row r="45" spans="1:14" x14ac:dyDescent="0.35">
      <c r="A45" s="415"/>
      <c r="B45" s="415"/>
      <c r="C45" s="415"/>
      <c r="D45" s="415"/>
      <c r="E45" s="415"/>
      <c r="F45" s="415"/>
      <c r="G45" s="415"/>
      <c r="H45" s="415"/>
      <c r="I45" s="415"/>
      <c r="J45" s="415"/>
      <c r="K45" s="415"/>
      <c r="L45" s="415"/>
      <c r="M45" s="415"/>
      <c r="N45" s="415"/>
    </row>
    <row r="46" spans="1:14" ht="15" customHeight="1" x14ac:dyDescent="0.35">
      <c r="A46" s="416" t="s">
        <v>167</v>
      </c>
      <c r="B46" s="416"/>
      <c r="C46" s="416"/>
      <c r="D46" s="416"/>
      <c r="E46" s="416"/>
      <c r="F46" s="416"/>
      <c r="G46" s="416"/>
      <c r="H46" s="416"/>
      <c r="I46" s="416"/>
      <c r="J46" s="416"/>
      <c r="K46" s="416"/>
      <c r="L46" s="416"/>
      <c r="M46" s="416"/>
      <c r="N46" s="416"/>
    </row>
    <row r="47" spans="1:14" x14ac:dyDescent="0.35">
      <c r="A47" s="416"/>
      <c r="B47" s="416"/>
      <c r="C47" s="416"/>
      <c r="D47" s="416"/>
      <c r="E47" s="416"/>
      <c r="F47" s="416"/>
      <c r="G47" s="416"/>
      <c r="H47" s="416"/>
      <c r="I47" s="416"/>
      <c r="J47" s="416"/>
      <c r="K47" s="416"/>
      <c r="L47" s="416"/>
      <c r="M47" s="416"/>
      <c r="N47" s="416"/>
    </row>
    <row r="48" spans="1:14" x14ac:dyDescent="0.35">
      <c r="A48" s="416"/>
      <c r="B48" s="416"/>
      <c r="C48" s="416"/>
      <c r="D48" s="416"/>
      <c r="E48" s="416"/>
      <c r="F48" s="416"/>
      <c r="G48" s="416"/>
      <c r="H48" s="416"/>
      <c r="I48" s="416"/>
      <c r="J48" s="416"/>
      <c r="K48" s="416"/>
      <c r="L48" s="416"/>
      <c r="M48" s="416"/>
      <c r="N48" s="416"/>
    </row>
    <row r="49" spans="1:14" x14ac:dyDescent="0.35">
      <c r="A49" s="416"/>
      <c r="B49" s="416"/>
      <c r="C49" s="416"/>
      <c r="D49" s="416"/>
      <c r="E49" s="416"/>
      <c r="F49" s="416"/>
      <c r="G49" s="416"/>
      <c r="H49" s="416"/>
      <c r="I49" s="416"/>
      <c r="J49" s="416"/>
      <c r="K49" s="416"/>
      <c r="L49" s="416"/>
      <c r="M49" s="416"/>
      <c r="N49" s="416"/>
    </row>
    <row r="50" spans="1:14" ht="15" customHeight="1" x14ac:dyDescent="0.35">
      <c r="A50" s="416" t="s">
        <v>169</v>
      </c>
      <c r="B50" s="416"/>
      <c r="C50" s="416"/>
      <c r="D50" s="416" t="s">
        <v>170</v>
      </c>
      <c r="E50" s="416"/>
      <c r="F50" s="416"/>
      <c r="G50" s="416"/>
      <c r="H50" s="416"/>
      <c r="I50" s="416"/>
      <c r="J50" s="416"/>
      <c r="K50" s="416"/>
      <c r="L50" s="416"/>
      <c r="M50" s="416"/>
      <c r="N50" s="416"/>
    </row>
    <row r="51" spans="1:14" x14ac:dyDescent="0.35">
      <c r="A51" s="416"/>
      <c r="B51" s="416"/>
      <c r="C51" s="416"/>
      <c r="D51" s="416"/>
      <c r="E51" s="416"/>
      <c r="F51" s="416"/>
      <c r="G51" s="416"/>
      <c r="H51" s="416"/>
      <c r="I51" s="416"/>
      <c r="J51" s="416"/>
      <c r="K51" s="416"/>
      <c r="L51" s="416"/>
      <c r="M51" s="416"/>
      <c r="N51" s="416"/>
    </row>
    <row r="52" spans="1:14" x14ac:dyDescent="0.35">
      <c r="A52" s="416"/>
      <c r="B52" s="416"/>
      <c r="C52" s="416"/>
      <c r="D52" s="416"/>
      <c r="E52" s="416"/>
      <c r="F52" s="416"/>
      <c r="G52" s="416"/>
      <c r="H52" s="416"/>
      <c r="I52" s="416"/>
      <c r="J52" s="416"/>
      <c r="K52" s="416"/>
      <c r="L52" s="416"/>
      <c r="M52" s="416"/>
      <c r="N52" s="416"/>
    </row>
    <row r="53" spans="1:14" ht="15" customHeight="1" x14ac:dyDescent="0.35">
      <c r="A53" s="421" t="s">
        <v>175</v>
      </c>
      <c r="B53" s="421"/>
      <c r="C53" s="421"/>
      <c r="D53" s="416" t="s">
        <v>171</v>
      </c>
      <c r="E53" s="416"/>
      <c r="F53" s="416"/>
      <c r="G53" s="416"/>
      <c r="H53" s="416"/>
      <c r="I53" s="416"/>
      <c r="J53" s="416"/>
      <c r="K53" s="416"/>
      <c r="L53" s="416"/>
      <c r="M53" s="416"/>
      <c r="N53" s="416"/>
    </row>
    <row r="54" spans="1:14" x14ac:dyDescent="0.35">
      <c r="A54" s="421"/>
      <c r="B54" s="421"/>
      <c r="C54" s="421"/>
      <c r="D54" s="416"/>
      <c r="E54" s="416"/>
      <c r="F54" s="416"/>
      <c r="G54" s="416"/>
      <c r="H54" s="416"/>
      <c r="I54" s="416"/>
      <c r="J54" s="416"/>
      <c r="K54" s="416"/>
      <c r="L54" s="416"/>
      <c r="M54" s="416"/>
      <c r="N54" s="416"/>
    </row>
    <row r="55" spans="1:14" x14ac:dyDescent="0.35">
      <c r="A55" s="421" t="s">
        <v>175</v>
      </c>
      <c r="B55" s="421"/>
      <c r="C55" s="421"/>
      <c r="D55" s="416" t="s">
        <v>172</v>
      </c>
      <c r="E55" s="416"/>
      <c r="F55" s="416"/>
      <c r="G55" s="416"/>
      <c r="H55" s="416"/>
      <c r="I55" s="416"/>
      <c r="J55" s="416"/>
      <c r="K55" s="416"/>
      <c r="L55" s="416"/>
      <c r="M55" s="416"/>
      <c r="N55" s="416"/>
    </row>
    <row r="56" spans="1:14" x14ac:dyDescent="0.35">
      <c r="A56" s="421"/>
      <c r="B56" s="421"/>
      <c r="C56" s="421"/>
      <c r="D56" s="416"/>
      <c r="E56" s="416"/>
      <c r="F56" s="416"/>
      <c r="G56" s="416"/>
      <c r="H56" s="416"/>
      <c r="I56" s="416"/>
      <c r="J56" s="416"/>
      <c r="K56" s="416"/>
      <c r="L56" s="416"/>
      <c r="M56" s="416"/>
      <c r="N56" s="416"/>
    </row>
    <row r="57" spans="1:14" x14ac:dyDescent="0.35">
      <c r="A57" s="422" t="s">
        <v>174</v>
      </c>
      <c r="B57" s="422"/>
      <c r="C57" s="422"/>
      <c r="D57" s="416" t="s">
        <v>173</v>
      </c>
      <c r="E57" s="416"/>
      <c r="F57" s="416"/>
      <c r="G57" s="416"/>
      <c r="H57" s="416"/>
      <c r="I57" s="416"/>
      <c r="J57" s="416"/>
      <c r="K57" s="416"/>
      <c r="L57" s="416"/>
      <c r="M57" s="416"/>
      <c r="N57" s="416"/>
    </row>
    <row r="58" spans="1:14" x14ac:dyDescent="0.35">
      <c r="A58" s="417"/>
      <c r="B58" s="417"/>
      <c r="C58" s="417"/>
      <c r="D58" s="416" t="s">
        <v>176</v>
      </c>
      <c r="E58" s="416"/>
      <c r="F58" s="416"/>
      <c r="G58" s="416"/>
      <c r="H58" s="416"/>
      <c r="I58" s="416"/>
      <c r="J58" s="416"/>
      <c r="K58" s="416"/>
      <c r="L58" s="416"/>
      <c r="M58" s="416"/>
      <c r="N58" s="416"/>
    </row>
    <row r="59" spans="1:14" x14ac:dyDescent="0.35">
      <c r="A59" s="423"/>
      <c r="B59" s="423"/>
      <c r="C59" s="423"/>
      <c r="D59" s="423"/>
      <c r="E59" s="423"/>
      <c r="F59" s="423"/>
      <c r="G59" s="423"/>
      <c r="H59" s="423"/>
      <c r="I59" s="423"/>
      <c r="J59" s="423"/>
      <c r="K59" s="423"/>
      <c r="L59" s="423"/>
      <c r="M59" s="423"/>
      <c r="N59" s="423"/>
    </row>
    <row r="60" spans="1:14" x14ac:dyDescent="0.35">
      <c r="A60" s="416" t="s">
        <v>177</v>
      </c>
      <c r="B60" s="416"/>
      <c r="C60" s="416"/>
      <c r="D60" s="416" t="s">
        <v>178</v>
      </c>
      <c r="E60" s="416"/>
      <c r="F60" s="416"/>
      <c r="G60" s="416"/>
      <c r="H60" s="416"/>
      <c r="I60" s="416"/>
      <c r="J60" s="416"/>
      <c r="K60" s="416"/>
      <c r="L60" s="416"/>
      <c r="M60" s="416"/>
      <c r="N60" s="416"/>
    </row>
    <row r="61" spans="1:14" x14ac:dyDescent="0.35">
      <c r="A61" s="416"/>
      <c r="B61" s="416"/>
      <c r="C61" s="416"/>
      <c r="D61" s="416"/>
      <c r="E61" s="416"/>
      <c r="F61" s="416"/>
      <c r="G61" s="416"/>
      <c r="H61" s="416"/>
      <c r="I61" s="416"/>
      <c r="J61" s="416"/>
      <c r="K61" s="416"/>
      <c r="L61" s="416"/>
      <c r="M61" s="416"/>
      <c r="N61" s="416"/>
    </row>
    <row r="62" spans="1:14" x14ac:dyDescent="0.35">
      <c r="A62" s="416"/>
      <c r="B62" s="416"/>
      <c r="C62" s="416"/>
      <c r="D62" s="416"/>
      <c r="E62" s="416"/>
      <c r="F62" s="416"/>
      <c r="G62" s="416"/>
      <c r="H62" s="416"/>
      <c r="I62" s="416"/>
      <c r="J62" s="416"/>
      <c r="K62" s="416"/>
      <c r="L62" s="416"/>
      <c r="M62" s="416"/>
      <c r="N62" s="416"/>
    </row>
    <row r="63" spans="1:14" ht="15" customHeight="1" x14ac:dyDescent="0.35">
      <c r="A63" s="121"/>
      <c r="B63" s="121"/>
      <c r="C63" s="121"/>
      <c r="D63" s="416" t="s">
        <v>179</v>
      </c>
      <c r="E63" s="416"/>
      <c r="F63" s="416"/>
      <c r="G63" s="416"/>
      <c r="H63" s="416"/>
      <c r="I63" s="416"/>
      <c r="J63" s="416"/>
      <c r="K63" s="416"/>
      <c r="L63" s="416"/>
      <c r="M63" s="416"/>
      <c r="N63" s="416"/>
    </row>
    <row r="64" spans="1:14" x14ac:dyDescent="0.35">
      <c r="A64" s="121"/>
      <c r="B64" s="121"/>
      <c r="C64" s="121"/>
      <c r="D64" s="416"/>
      <c r="E64" s="416"/>
      <c r="F64" s="416"/>
      <c r="G64" s="416"/>
      <c r="H64" s="416"/>
      <c r="I64" s="416"/>
      <c r="J64" s="416"/>
      <c r="K64" s="416"/>
      <c r="L64" s="416"/>
      <c r="M64" s="416"/>
      <c r="N64" s="416"/>
    </row>
    <row r="65" spans="1:14" x14ac:dyDescent="0.35">
      <c r="A65" s="123"/>
      <c r="B65" s="123"/>
      <c r="C65" s="123"/>
      <c r="D65" s="416"/>
      <c r="E65" s="416"/>
      <c r="F65" s="416"/>
      <c r="G65" s="416"/>
      <c r="H65" s="416"/>
      <c r="I65" s="416"/>
      <c r="J65" s="416"/>
      <c r="K65" s="416"/>
      <c r="L65" s="416"/>
      <c r="M65" s="416"/>
      <c r="N65" s="416"/>
    </row>
    <row r="66" spans="1:14" x14ac:dyDescent="0.35">
      <c r="A66" s="416"/>
      <c r="B66" s="416"/>
      <c r="C66" s="416"/>
      <c r="D66" s="417"/>
      <c r="E66" s="417"/>
      <c r="F66" s="417"/>
      <c r="G66" s="417"/>
      <c r="H66" s="417"/>
      <c r="I66" s="417"/>
      <c r="J66" s="417"/>
      <c r="K66" s="417"/>
      <c r="L66" s="417"/>
      <c r="M66" s="417"/>
      <c r="N66" s="417"/>
    </row>
    <row r="67" spans="1:14" ht="15" customHeight="1" x14ac:dyDescent="0.35">
      <c r="A67" s="416" t="s">
        <v>180</v>
      </c>
      <c r="B67" s="416"/>
      <c r="C67" s="416"/>
      <c r="D67" s="419" t="s">
        <v>181</v>
      </c>
      <c r="E67" s="419"/>
      <c r="F67" s="419"/>
      <c r="G67" s="419"/>
      <c r="H67" s="419"/>
      <c r="I67" s="419"/>
      <c r="J67" s="419"/>
      <c r="K67" s="419"/>
      <c r="L67" s="419"/>
      <c r="M67" s="419"/>
      <c r="N67" s="419"/>
    </row>
    <row r="68" spans="1:14" x14ac:dyDescent="0.35">
      <c r="A68" s="417"/>
      <c r="B68" s="417"/>
      <c r="C68" s="417"/>
      <c r="D68" s="419"/>
      <c r="E68" s="419"/>
      <c r="F68" s="419"/>
      <c r="G68" s="419"/>
      <c r="H68" s="419"/>
      <c r="I68" s="419"/>
      <c r="J68" s="419"/>
      <c r="K68" s="419"/>
      <c r="L68" s="419"/>
      <c r="M68" s="419"/>
      <c r="N68" s="419"/>
    </row>
    <row r="69" spans="1:14" x14ac:dyDescent="0.35">
      <c r="A69" s="417"/>
      <c r="B69" s="417"/>
      <c r="C69" s="417"/>
      <c r="D69" s="419"/>
      <c r="E69" s="419"/>
      <c r="F69" s="419"/>
      <c r="G69" s="419"/>
      <c r="H69" s="419"/>
      <c r="I69" s="419"/>
      <c r="J69" s="419"/>
      <c r="K69" s="419"/>
      <c r="L69" s="419"/>
      <c r="M69" s="419"/>
      <c r="N69" s="419"/>
    </row>
    <row r="70" spans="1:14" x14ac:dyDescent="0.35">
      <c r="A70" s="417"/>
      <c r="B70" s="417"/>
      <c r="C70" s="417"/>
      <c r="D70" s="419" t="s">
        <v>182</v>
      </c>
      <c r="E70" s="419"/>
      <c r="F70" s="419"/>
      <c r="G70" s="419"/>
      <c r="H70" s="419"/>
      <c r="I70" s="419"/>
      <c r="J70" s="419"/>
      <c r="K70" s="419"/>
      <c r="L70" s="419"/>
      <c r="M70" s="419"/>
      <c r="N70" s="419"/>
    </row>
    <row r="71" spans="1:14" x14ac:dyDescent="0.35">
      <c r="A71" s="417"/>
      <c r="B71" s="417"/>
      <c r="C71" s="417"/>
      <c r="D71" s="419"/>
      <c r="E71" s="419"/>
      <c r="F71" s="419"/>
      <c r="G71" s="419"/>
      <c r="H71" s="419"/>
      <c r="I71" s="419"/>
      <c r="J71" s="419"/>
      <c r="K71" s="419"/>
      <c r="L71" s="419"/>
      <c r="M71" s="419"/>
      <c r="N71" s="419"/>
    </row>
    <row r="72" spans="1:14" x14ac:dyDescent="0.35">
      <c r="A72" s="417"/>
      <c r="B72" s="417"/>
      <c r="C72" s="417"/>
      <c r="D72" s="416" t="s">
        <v>183</v>
      </c>
      <c r="E72" s="416"/>
      <c r="F72" s="416"/>
      <c r="G72" s="416"/>
      <c r="H72" s="416"/>
      <c r="I72" s="416"/>
      <c r="J72" s="416"/>
      <c r="K72" s="416"/>
      <c r="L72" s="416"/>
      <c r="M72" s="416"/>
      <c r="N72" s="416"/>
    </row>
    <row r="73" spans="1:14" x14ac:dyDescent="0.35">
      <c r="A73" s="417"/>
      <c r="B73" s="417"/>
      <c r="C73" s="417"/>
      <c r="D73" s="416"/>
      <c r="E73" s="416"/>
      <c r="F73" s="416"/>
      <c r="G73" s="416"/>
      <c r="H73" s="416"/>
      <c r="I73" s="416"/>
      <c r="J73" s="416"/>
      <c r="K73" s="416"/>
      <c r="L73" s="416"/>
      <c r="M73" s="416"/>
      <c r="N73" s="416"/>
    </row>
    <row r="74" spans="1:14" ht="15" customHeight="1" x14ac:dyDescent="0.35">
      <c r="A74" s="417"/>
      <c r="B74" s="417"/>
      <c r="C74" s="417"/>
      <c r="D74" s="416" t="s">
        <v>184</v>
      </c>
      <c r="E74" s="416"/>
      <c r="F74" s="416"/>
      <c r="G74" s="416"/>
      <c r="H74" s="416"/>
      <c r="I74" s="416"/>
      <c r="J74" s="416"/>
      <c r="K74" s="416"/>
      <c r="L74" s="416"/>
      <c r="M74" s="416"/>
      <c r="N74" s="416"/>
    </row>
    <row r="75" spans="1:14" x14ac:dyDescent="0.35">
      <c r="A75" s="417"/>
      <c r="B75" s="417"/>
      <c r="C75" s="417"/>
      <c r="D75" s="416"/>
      <c r="E75" s="416"/>
      <c r="F75" s="416"/>
      <c r="G75" s="416"/>
      <c r="H75" s="416"/>
      <c r="I75" s="416"/>
      <c r="J75" s="416"/>
      <c r="K75" s="416"/>
      <c r="L75" s="416"/>
      <c r="M75" s="416"/>
      <c r="N75" s="416"/>
    </row>
    <row r="76" spans="1:14" x14ac:dyDescent="0.35">
      <c r="A76" s="417"/>
      <c r="B76" s="417"/>
      <c r="C76" s="417"/>
      <c r="D76" s="419" t="s">
        <v>185</v>
      </c>
      <c r="E76" s="419"/>
      <c r="F76" s="419"/>
      <c r="G76" s="419"/>
      <c r="H76" s="419"/>
      <c r="I76" s="419"/>
      <c r="J76" s="419"/>
      <c r="K76" s="419"/>
      <c r="L76" s="419"/>
      <c r="M76" s="419"/>
      <c r="N76" s="419"/>
    </row>
    <row r="77" spans="1:14" x14ac:dyDescent="0.35">
      <c r="A77" s="417"/>
      <c r="B77" s="417"/>
      <c r="C77" s="417"/>
      <c r="D77" s="419"/>
      <c r="E77" s="419"/>
      <c r="F77" s="419"/>
      <c r="G77" s="419"/>
      <c r="H77" s="419"/>
      <c r="I77" s="419"/>
      <c r="J77" s="419"/>
      <c r="K77" s="419"/>
      <c r="L77" s="419"/>
      <c r="M77" s="419"/>
      <c r="N77" s="419"/>
    </row>
    <row r="78" spans="1:14" x14ac:dyDescent="0.35">
      <c r="A78" s="417"/>
      <c r="B78" s="417"/>
      <c r="C78" s="417"/>
      <c r="D78" s="419"/>
      <c r="E78" s="419"/>
      <c r="F78" s="419"/>
      <c r="G78" s="419"/>
      <c r="H78" s="419"/>
      <c r="I78" s="419"/>
      <c r="J78" s="419"/>
      <c r="K78" s="419"/>
      <c r="L78" s="419"/>
      <c r="M78" s="419"/>
      <c r="N78" s="419"/>
    </row>
    <row r="79" spans="1:14" x14ac:dyDescent="0.35">
      <c r="A79" s="417"/>
      <c r="B79" s="417"/>
      <c r="C79" s="417"/>
      <c r="D79" s="419"/>
      <c r="E79" s="419"/>
      <c r="F79" s="419"/>
      <c r="G79" s="419"/>
      <c r="H79" s="419"/>
      <c r="I79" s="419"/>
      <c r="J79" s="419"/>
      <c r="K79" s="419"/>
      <c r="L79" s="419"/>
      <c r="M79" s="419"/>
      <c r="N79" s="419"/>
    </row>
    <row r="80" spans="1:14" x14ac:dyDescent="0.35">
      <c r="A80" s="417"/>
      <c r="B80" s="417"/>
      <c r="C80" s="417"/>
      <c r="D80" s="419"/>
      <c r="E80" s="419"/>
      <c r="F80" s="419"/>
      <c r="G80" s="419"/>
      <c r="H80" s="419"/>
      <c r="I80" s="419"/>
      <c r="J80" s="419"/>
      <c r="K80" s="419"/>
      <c r="L80" s="419"/>
      <c r="M80" s="419"/>
      <c r="N80" s="419"/>
    </row>
    <row r="81" spans="1:14" x14ac:dyDescent="0.35">
      <c r="A81" s="415"/>
      <c r="B81" s="415"/>
      <c r="C81" s="415"/>
      <c r="D81" s="415"/>
      <c r="E81" s="415"/>
      <c r="F81" s="415"/>
      <c r="G81" s="415"/>
      <c r="H81" s="415"/>
      <c r="I81" s="415"/>
      <c r="J81" s="415"/>
      <c r="K81" s="415"/>
      <c r="L81" s="415"/>
      <c r="M81" s="415"/>
      <c r="N81" s="415"/>
    </row>
    <row r="82" spans="1:14" x14ac:dyDescent="0.35">
      <c r="A82" s="416" t="s">
        <v>186</v>
      </c>
      <c r="B82" s="416"/>
      <c r="C82" s="416"/>
      <c r="D82" s="419" t="s">
        <v>187</v>
      </c>
      <c r="E82" s="419"/>
      <c r="F82" s="419"/>
      <c r="G82" s="419"/>
      <c r="H82" s="419"/>
      <c r="I82" s="419"/>
      <c r="J82" s="419"/>
      <c r="K82" s="419"/>
      <c r="L82" s="419"/>
      <c r="M82" s="419"/>
      <c r="N82" s="419"/>
    </row>
    <row r="83" spans="1:14" ht="15" customHeight="1" x14ac:dyDescent="0.35">
      <c r="A83" s="417"/>
      <c r="B83" s="417"/>
      <c r="C83" s="417"/>
      <c r="D83" s="419" t="s">
        <v>188</v>
      </c>
      <c r="E83" s="419"/>
      <c r="F83" s="419"/>
      <c r="G83" s="419"/>
      <c r="H83" s="419"/>
      <c r="I83" s="419"/>
      <c r="J83" s="419"/>
      <c r="K83" s="419"/>
      <c r="L83" s="419"/>
      <c r="M83" s="419"/>
      <c r="N83" s="419"/>
    </row>
    <row r="84" spans="1:14" x14ac:dyDescent="0.35">
      <c r="A84" s="417"/>
      <c r="B84" s="417"/>
      <c r="C84" s="417"/>
      <c r="D84" s="419"/>
      <c r="E84" s="419"/>
      <c r="F84" s="419"/>
      <c r="G84" s="419"/>
      <c r="H84" s="419"/>
      <c r="I84" s="419"/>
      <c r="J84" s="419"/>
      <c r="K84" s="419"/>
      <c r="L84" s="419"/>
      <c r="M84" s="419"/>
      <c r="N84" s="419"/>
    </row>
    <row r="85" spans="1:14" x14ac:dyDescent="0.35">
      <c r="A85" s="417"/>
      <c r="B85" s="417"/>
      <c r="C85" s="417"/>
      <c r="D85" s="419"/>
      <c r="E85" s="419"/>
      <c r="F85" s="419"/>
      <c r="G85" s="419"/>
      <c r="H85" s="419"/>
      <c r="I85" s="419"/>
      <c r="J85" s="419"/>
      <c r="K85" s="419"/>
      <c r="L85" s="419"/>
      <c r="M85" s="419"/>
      <c r="N85" s="419"/>
    </row>
    <row r="86" spans="1:14" x14ac:dyDescent="0.35">
      <c r="A86" s="417"/>
      <c r="B86" s="417"/>
      <c r="C86" s="417"/>
      <c r="D86" s="419" t="s">
        <v>189</v>
      </c>
      <c r="E86" s="419"/>
      <c r="F86" s="419"/>
      <c r="G86" s="419"/>
      <c r="H86" s="419"/>
      <c r="I86" s="419"/>
      <c r="J86" s="419"/>
      <c r="K86" s="419"/>
      <c r="L86" s="419"/>
      <c r="M86" s="419"/>
      <c r="N86" s="419"/>
    </row>
    <row r="87" spans="1:14" x14ac:dyDescent="0.35">
      <c r="A87" s="417"/>
      <c r="B87" s="417"/>
      <c r="C87" s="417"/>
      <c r="D87" s="419" t="s">
        <v>190</v>
      </c>
      <c r="E87" s="419"/>
      <c r="F87" s="419"/>
      <c r="G87" s="419"/>
      <c r="H87" s="419"/>
      <c r="I87" s="419"/>
      <c r="J87" s="419"/>
      <c r="K87" s="419"/>
      <c r="L87" s="419"/>
      <c r="M87" s="419"/>
      <c r="N87" s="419"/>
    </row>
    <row r="88" spans="1:14" ht="15" customHeight="1" x14ac:dyDescent="0.35">
      <c r="A88" s="417"/>
      <c r="B88" s="417"/>
      <c r="C88" s="417"/>
      <c r="D88" s="419" t="s">
        <v>191</v>
      </c>
      <c r="E88" s="419"/>
      <c r="F88" s="419"/>
      <c r="G88" s="419"/>
      <c r="H88" s="419"/>
      <c r="I88" s="419"/>
      <c r="J88" s="419"/>
      <c r="K88" s="419"/>
      <c r="L88" s="419"/>
      <c r="M88" s="419"/>
      <c r="N88" s="419"/>
    </row>
    <row r="89" spans="1:14" x14ac:dyDescent="0.35">
      <c r="A89" s="417"/>
      <c r="B89" s="417"/>
      <c r="C89" s="417"/>
      <c r="D89" s="419"/>
      <c r="E89" s="419"/>
      <c r="F89" s="419"/>
      <c r="G89" s="419"/>
      <c r="H89" s="419"/>
      <c r="I89" s="419"/>
      <c r="J89" s="419"/>
      <c r="K89" s="419"/>
      <c r="L89" s="419"/>
      <c r="M89" s="419"/>
      <c r="N89" s="419"/>
    </row>
    <row r="90" spans="1:14" ht="15" customHeight="1" x14ac:dyDescent="0.35">
      <c r="A90" s="417"/>
      <c r="B90" s="417"/>
      <c r="C90" s="417"/>
      <c r="D90" s="419" t="s">
        <v>211</v>
      </c>
      <c r="E90" s="419"/>
      <c r="F90" s="419"/>
      <c r="G90" s="419"/>
      <c r="H90" s="419"/>
      <c r="I90" s="419"/>
      <c r="J90" s="419"/>
      <c r="K90" s="419"/>
      <c r="L90" s="419"/>
      <c r="M90" s="419"/>
      <c r="N90" s="419"/>
    </row>
    <row r="91" spans="1:14" x14ac:dyDescent="0.35">
      <c r="A91" s="417"/>
      <c r="B91" s="417"/>
      <c r="C91" s="417"/>
      <c r="D91" s="419"/>
      <c r="E91" s="419"/>
      <c r="F91" s="419"/>
      <c r="G91" s="419"/>
      <c r="H91" s="419"/>
      <c r="I91" s="419"/>
      <c r="J91" s="419"/>
      <c r="K91" s="419"/>
      <c r="L91" s="419"/>
      <c r="M91" s="419"/>
      <c r="N91" s="419"/>
    </row>
    <row r="92" spans="1:14" x14ac:dyDescent="0.35">
      <c r="A92" s="415"/>
      <c r="B92" s="415"/>
      <c r="C92" s="415"/>
      <c r="D92" s="415"/>
      <c r="E92" s="415"/>
      <c r="F92" s="415"/>
      <c r="G92" s="415"/>
      <c r="H92" s="415"/>
      <c r="I92" s="415"/>
      <c r="J92" s="415"/>
      <c r="K92" s="415"/>
      <c r="L92" s="415"/>
      <c r="M92" s="415"/>
      <c r="N92" s="415"/>
    </row>
    <row r="93" spans="1:14" ht="15" customHeight="1" x14ac:dyDescent="0.35">
      <c r="A93" s="416" t="s">
        <v>192</v>
      </c>
      <c r="B93" s="416"/>
      <c r="C93" s="416"/>
      <c r="D93" s="419" t="s">
        <v>193</v>
      </c>
      <c r="E93" s="419"/>
      <c r="F93" s="419"/>
      <c r="G93" s="419"/>
      <c r="H93" s="419"/>
      <c r="I93" s="419"/>
      <c r="J93" s="419"/>
      <c r="K93" s="419"/>
      <c r="L93" s="419"/>
      <c r="M93" s="419"/>
      <c r="N93" s="419"/>
    </row>
    <row r="94" spans="1:14" x14ac:dyDescent="0.35">
      <c r="A94" s="124"/>
      <c r="B94" s="124"/>
      <c r="C94" s="124"/>
      <c r="D94" s="419"/>
      <c r="E94" s="419"/>
      <c r="F94" s="419"/>
      <c r="G94" s="419"/>
      <c r="H94" s="419"/>
      <c r="I94" s="419"/>
      <c r="J94" s="419"/>
      <c r="K94" s="419"/>
      <c r="L94" s="419"/>
      <c r="M94" s="419"/>
      <c r="N94" s="419"/>
    </row>
    <row r="95" spans="1:14" x14ac:dyDescent="0.35">
      <c r="A95" s="124"/>
      <c r="B95" s="124"/>
      <c r="C95" s="124"/>
      <c r="D95" s="419"/>
      <c r="E95" s="419"/>
      <c r="F95" s="419"/>
      <c r="G95" s="419"/>
      <c r="H95" s="419"/>
      <c r="I95" s="419"/>
      <c r="J95" s="419"/>
      <c r="K95" s="419"/>
      <c r="L95" s="419"/>
      <c r="M95" s="419"/>
      <c r="N95" s="419"/>
    </row>
    <row r="96" spans="1:14" x14ac:dyDescent="0.35">
      <c r="A96" s="124"/>
      <c r="B96" s="124"/>
      <c r="C96" s="124"/>
      <c r="D96" s="425" t="s">
        <v>194</v>
      </c>
      <c r="E96" s="425"/>
      <c r="F96" s="425"/>
      <c r="G96" s="425"/>
      <c r="H96" s="425"/>
      <c r="I96" s="425"/>
      <c r="J96" s="425"/>
      <c r="K96" s="425"/>
      <c r="L96" s="425"/>
      <c r="M96" s="425"/>
      <c r="N96" s="425"/>
    </row>
    <row r="97" spans="1:14" x14ac:dyDescent="0.35">
      <c r="A97" s="124"/>
      <c r="B97" s="124"/>
      <c r="C97" s="124"/>
      <c r="D97" s="419" t="s">
        <v>195</v>
      </c>
      <c r="E97" s="419"/>
      <c r="F97" s="419"/>
      <c r="G97" s="419"/>
      <c r="H97" s="419"/>
      <c r="I97" s="419"/>
      <c r="J97" s="419"/>
      <c r="K97" s="419"/>
      <c r="L97" s="419"/>
      <c r="M97" s="419"/>
      <c r="N97" s="419"/>
    </row>
    <row r="98" spans="1:14" x14ac:dyDescent="0.35">
      <c r="A98" s="124"/>
      <c r="B98" s="124"/>
      <c r="C98" s="124"/>
      <c r="D98" s="419"/>
      <c r="E98" s="419"/>
      <c r="F98" s="419"/>
      <c r="G98" s="419"/>
      <c r="H98" s="419"/>
      <c r="I98" s="419"/>
      <c r="J98" s="419"/>
      <c r="K98" s="419"/>
      <c r="L98" s="419"/>
      <c r="M98" s="419"/>
      <c r="N98" s="419"/>
    </row>
    <row r="99" spans="1:14" x14ac:dyDescent="0.35">
      <c r="A99" s="124"/>
      <c r="B99" s="124"/>
      <c r="C99" s="124"/>
      <c r="D99" s="419"/>
      <c r="E99" s="419"/>
      <c r="F99" s="419"/>
      <c r="G99" s="419"/>
      <c r="H99" s="419"/>
      <c r="I99" s="419"/>
      <c r="J99" s="419"/>
      <c r="K99" s="419"/>
      <c r="L99" s="419"/>
      <c r="M99" s="419"/>
      <c r="N99" s="419"/>
    </row>
    <row r="100" spans="1:14" x14ac:dyDescent="0.35">
      <c r="A100" s="124"/>
      <c r="B100" s="124"/>
      <c r="C100" s="124"/>
      <c r="D100" s="419"/>
      <c r="E100" s="419"/>
      <c r="F100" s="419"/>
      <c r="G100" s="419"/>
      <c r="H100" s="419"/>
      <c r="I100" s="419"/>
      <c r="J100" s="419"/>
      <c r="K100" s="419"/>
      <c r="L100" s="419"/>
      <c r="M100" s="419"/>
      <c r="N100" s="419"/>
    </row>
    <row r="101" spans="1:14" x14ac:dyDescent="0.35">
      <c r="A101" s="124"/>
      <c r="B101" s="124"/>
      <c r="C101" s="124"/>
      <c r="D101" s="419"/>
      <c r="E101" s="419"/>
      <c r="F101" s="419"/>
      <c r="G101" s="419"/>
      <c r="H101" s="419"/>
      <c r="I101" s="419"/>
      <c r="J101" s="419"/>
      <c r="K101" s="419"/>
      <c r="L101" s="419"/>
      <c r="M101" s="419"/>
      <c r="N101" s="419"/>
    </row>
    <row r="102" spans="1:14" x14ac:dyDescent="0.35">
      <c r="A102" s="124"/>
      <c r="B102" s="124"/>
      <c r="C102" s="124"/>
      <c r="D102" s="419"/>
      <c r="E102" s="419"/>
      <c r="F102" s="419"/>
      <c r="G102" s="419"/>
      <c r="H102" s="419"/>
      <c r="I102" s="419"/>
      <c r="J102" s="419"/>
      <c r="K102" s="419"/>
      <c r="L102" s="419"/>
      <c r="M102" s="419"/>
      <c r="N102" s="419"/>
    </row>
    <row r="103" spans="1:14" x14ac:dyDescent="0.35">
      <c r="A103" s="124"/>
      <c r="B103" s="124"/>
      <c r="C103" s="124"/>
      <c r="D103" s="419" t="s">
        <v>196</v>
      </c>
      <c r="E103" s="419"/>
      <c r="F103" s="419"/>
      <c r="G103" s="419"/>
      <c r="H103" s="419"/>
      <c r="I103" s="419"/>
      <c r="J103" s="419"/>
      <c r="K103" s="419"/>
      <c r="L103" s="419"/>
      <c r="M103" s="419"/>
      <c r="N103" s="419"/>
    </row>
    <row r="104" spans="1:14" x14ac:dyDescent="0.35">
      <c r="A104" s="124"/>
      <c r="B104" s="124"/>
      <c r="C104" s="124"/>
      <c r="D104" s="419"/>
      <c r="E104" s="419"/>
      <c r="F104" s="419"/>
      <c r="G104" s="419"/>
      <c r="H104" s="419"/>
      <c r="I104" s="419"/>
      <c r="J104" s="419"/>
      <c r="K104" s="419"/>
      <c r="L104" s="419"/>
      <c r="M104" s="419"/>
      <c r="N104" s="419"/>
    </row>
    <row r="105" spans="1:14" x14ac:dyDescent="0.35">
      <c r="A105" s="124"/>
      <c r="B105" s="124"/>
      <c r="C105" s="124"/>
      <c r="D105" s="415"/>
      <c r="E105" s="415"/>
      <c r="F105" s="415"/>
      <c r="G105" s="415"/>
      <c r="H105" s="415"/>
      <c r="I105" s="415"/>
      <c r="J105" s="415"/>
      <c r="K105" s="415"/>
      <c r="L105" s="415"/>
      <c r="M105" s="415"/>
      <c r="N105" s="415"/>
    </row>
    <row r="106" spans="1:14" ht="15" customHeight="1" x14ac:dyDescent="0.35">
      <c r="A106" s="416" t="s">
        <v>197</v>
      </c>
      <c r="B106" s="416"/>
      <c r="C106" s="416"/>
      <c r="D106" s="419" t="s">
        <v>198</v>
      </c>
      <c r="E106" s="419"/>
      <c r="F106" s="419"/>
      <c r="G106" s="419"/>
      <c r="H106" s="419"/>
      <c r="I106" s="419"/>
      <c r="J106" s="419"/>
      <c r="K106" s="419"/>
      <c r="L106" s="419"/>
      <c r="M106" s="419"/>
      <c r="N106" s="419"/>
    </row>
    <row r="107" spans="1:14" x14ac:dyDescent="0.35">
      <c r="A107" s="124"/>
      <c r="B107" s="124"/>
      <c r="C107" s="124"/>
      <c r="D107" s="419"/>
      <c r="E107" s="419"/>
      <c r="F107" s="419"/>
      <c r="G107" s="419"/>
      <c r="H107" s="419"/>
      <c r="I107" s="419"/>
      <c r="J107" s="419"/>
      <c r="K107" s="419"/>
      <c r="L107" s="419"/>
      <c r="M107" s="419"/>
      <c r="N107" s="419"/>
    </row>
    <row r="108" spans="1:14" x14ac:dyDescent="0.35">
      <c r="A108" s="124"/>
      <c r="B108" s="124"/>
      <c r="C108" s="124"/>
      <c r="D108" s="424" t="s">
        <v>199</v>
      </c>
      <c r="E108" s="424"/>
      <c r="F108" s="424"/>
      <c r="G108" s="424"/>
      <c r="H108" s="424"/>
      <c r="I108" s="424"/>
      <c r="J108" s="424"/>
      <c r="K108" s="424"/>
      <c r="L108" s="424"/>
      <c r="M108" s="424"/>
      <c r="N108" s="424"/>
    </row>
    <row r="109" spans="1:14" ht="15" customHeight="1" x14ac:dyDescent="0.35">
      <c r="A109" s="124"/>
      <c r="B109" s="124"/>
      <c r="C109" s="124"/>
      <c r="D109" s="419" t="s">
        <v>200</v>
      </c>
      <c r="E109" s="419"/>
      <c r="F109" s="419"/>
      <c r="G109" s="419"/>
      <c r="H109" s="419"/>
      <c r="I109" s="419"/>
      <c r="J109" s="419"/>
      <c r="K109" s="419"/>
      <c r="L109" s="419"/>
      <c r="M109" s="419"/>
      <c r="N109" s="419"/>
    </row>
    <row r="110" spans="1:14" x14ac:dyDescent="0.35">
      <c r="A110" s="124"/>
      <c r="B110" s="124"/>
      <c r="C110" s="124"/>
      <c r="D110" s="419"/>
      <c r="E110" s="419"/>
      <c r="F110" s="419"/>
      <c r="G110" s="419"/>
      <c r="H110" s="419"/>
      <c r="I110" s="419"/>
      <c r="J110" s="419"/>
      <c r="K110" s="419"/>
      <c r="L110" s="419"/>
      <c r="M110" s="419"/>
      <c r="N110" s="419"/>
    </row>
    <row r="111" spans="1:14" x14ac:dyDescent="0.35">
      <c r="A111" s="124"/>
      <c r="B111" s="124"/>
      <c r="C111" s="124"/>
      <c r="D111" s="419"/>
      <c r="E111" s="419"/>
      <c r="F111" s="419"/>
      <c r="G111" s="419"/>
      <c r="H111" s="419"/>
      <c r="I111" s="419"/>
      <c r="J111" s="419"/>
      <c r="K111" s="419"/>
      <c r="L111" s="419"/>
      <c r="M111" s="419"/>
      <c r="N111" s="419"/>
    </row>
    <row r="112" spans="1:14" x14ac:dyDescent="0.35">
      <c r="A112" s="124"/>
      <c r="B112" s="124"/>
      <c r="C112" s="124"/>
      <c r="D112" s="419"/>
      <c r="E112" s="419"/>
      <c r="F112" s="419"/>
      <c r="G112" s="419"/>
      <c r="H112" s="419"/>
      <c r="I112" s="419"/>
      <c r="J112" s="419"/>
      <c r="K112" s="419"/>
      <c r="L112" s="419"/>
      <c r="M112" s="419"/>
      <c r="N112" s="419"/>
    </row>
    <row r="113" spans="1:14" x14ac:dyDescent="0.35">
      <c r="A113" s="124"/>
      <c r="B113" s="124"/>
      <c r="C113" s="124"/>
      <c r="D113" s="419"/>
      <c r="E113" s="419"/>
      <c r="F113" s="419"/>
      <c r="G113" s="419"/>
      <c r="H113" s="419"/>
      <c r="I113" s="419"/>
      <c r="J113" s="419"/>
      <c r="K113" s="419"/>
      <c r="L113" s="419"/>
      <c r="M113" s="419"/>
      <c r="N113" s="419"/>
    </row>
    <row r="114" spans="1:14" x14ac:dyDescent="0.35">
      <c r="A114" s="124"/>
      <c r="B114" s="124"/>
      <c r="C114" s="124"/>
      <c r="D114" s="419"/>
      <c r="E114" s="419"/>
      <c r="F114" s="419"/>
      <c r="G114" s="419"/>
      <c r="H114" s="419"/>
      <c r="I114" s="419"/>
      <c r="J114" s="419"/>
      <c r="K114" s="419"/>
      <c r="L114" s="419"/>
      <c r="M114" s="419"/>
      <c r="N114" s="419"/>
    </row>
    <row r="115" spans="1:14" x14ac:dyDescent="0.35">
      <c r="A115" s="124"/>
      <c r="B115" s="124"/>
      <c r="C115" s="124"/>
      <c r="D115" s="419"/>
      <c r="E115" s="419"/>
      <c r="F115" s="419"/>
      <c r="G115" s="419"/>
      <c r="H115" s="419"/>
      <c r="I115" s="419"/>
      <c r="J115" s="419"/>
      <c r="K115" s="419"/>
      <c r="L115" s="419"/>
      <c r="M115" s="419"/>
      <c r="N115" s="419"/>
    </row>
    <row r="116" spans="1:14" ht="15" customHeight="1" x14ac:dyDescent="0.35">
      <c r="A116" s="124"/>
      <c r="B116" s="124"/>
      <c r="C116" s="124"/>
      <c r="D116" s="419" t="s">
        <v>201</v>
      </c>
      <c r="E116" s="419"/>
      <c r="F116" s="419"/>
      <c r="G116" s="419"/>
      <c r="H116" s="419"/>
      <c r="I116" s="419"/>
      <c r="J116" s="419"/>
      <c r="K116" s="419"/>
      <c r="L116" s="419"/>
      <c r="M116" s="419"/>
      <c r="N116" s="419"/>
    </row>
    <row r="117" spans="1:14" x14ac:dyDescent="0.35">
      <c r="A117" s="124"/>
      <c r="B117" s="124"/>
      <c r="C117" s="124"/>
      <c r="D117" s="419"/>
      <c r="E117" s="419"/>
      <c r="F117" s="419"/>
      <c r="G117" s="419"/>
      <c r="H117" s="419"/>
      <c r="I117" s="419"/>
      <c r="J117" s="419"/>
      <c r="K117" s="419"/>
      <c r="L117" s="419"/>
      <c r="M117" s="419"/>
      <c r="N117" s="419"/>
    </row>
    <row r="118" spans="1:14" x14ac:dyDescent="0.35">
      <c r="A118" s="124"/>
      <c r="B118" s="124"/>
      <c r="C118" s="124"/>
      <c r="D118" s="419"/>
      <c r="E118" s="419"/>
      <c r="F118" s="419"/>
      <c r="G118" s="419"/>
      <c r="H118" s="419"/>
      <c r="I118" s="419"/>
      <c r="J118" s="419"/>
      <c r="K118" s="419"/>
      <c r="L118" s="419"/>
      <c r="M118" s="419"/>
      <c r="N118" s="419"/>
    </row>
    <row r="119" spans="1:14" x14ac:dyDescent="0.35">
      <c r="A119" s="415"/>
      <c r="B119" s="415"/>
      <c r="C119" s="415"/>
      <c r="D119" s="415"/>
      <c r="E119" s="415"/>
      <c r="F119" s="415"/>
      <c r="G119" s="415"/>
      <c r="H119" s="415"/>
      <c r="I119" s="415"/>
      <c r="J119" s="415"/>
      <c r="K119" s="415"/>
      <c r="L119" s="415"/>
      <c r="M119" s="415"/>
      <c r="N119" s="415"/>
    </row>
    <row r="120" spans="1:14" x14ac:dyDescent="0.35">
      <c r="A120" s="416" t="s">
        <v>202</v>
      </c>
      <c r="B120" s="416"/>
      <c r="C120" s="416"/>
      <c r="D120" s="419" t="s">
        <v>203</v>
      </c>
      <c r="E120" s="419"/>
      <c r="F120" s="419"/>
      <c r="G120" s="419"/>
      <c r="H120" s="419"/>
      <c r="I120" s="419"/>
      <c r="J120" s="419"/>
      <c r="K120" s="419"/>
      <c r="L120" s="419"/>
      <c r="M120" s="419"/>
      <c r="N120" s="419"/>
    </row>
    <row r="121" spans="1:14" x14ac:dyDescent="0.35">
      <c r="A121" s="124"/>
      <c r="B121" s="124"/>
      <c r="C121" s="124"/>
      <c r="D121" s="419"/>
      <c r="E121" s="419"/>
      <c r="F121" s="419"/>
      <c r="G121" s="419"/>
      <c r="H121" s="419"/>
      <c r="I121" s="419"/>
      <c r="J121" s="419"/>
      <c r="K121" s="419"/>
      <c r="L121" s="419"/>
      <c r="M121" s="419"/>
      <c r="N121" s="419"/>
    </row>
    <row r="122" spans="1:14" x14ac:dyDescent="0.35">
      <c r="A122" s="124"/>
      <c r="B122" s="124"/>
      <c r="C122" s="124"/>
      <c r="D122" s="420" t="s">
        <v>204</v>
      </c>
      <c r="E122" s="420"/>
      <c r="F122" s="420"/>
      <c r="G122" s="420"/>
      <c r="H122" s="420"/>
      <c r="I122" s="420"/>
      <c r="J122" s="420"/>
      <c r="K122" s="420"/>
      <c r="L122" s="420"/>
      <c r="M122" s="420"/>
      <c r="N122" s="420"/>
    </row>
    <row r="123" spans="1:14" x14ac:dyDescent="0.35">
      <c r="A123" s="415"/>
      <c r="B123" s="415"/>
      <c r="C123" s="415"/>
      <c r="D123" s="415"/>
      <c r="E123" s="415"/>
      <c r="F123" s="415"/>
      <c r="G123" s="415"/>
      <c r="H123" s="415"/>
      <c r="I123" s="415"/>
      <c r="J123" s="415"/>
      <c r="K123" s="415"/>
      <c r="L123" s="415"/>
      <c r="M123" s="415"/>
      <c r="N123" s="415"/>
    </row>
    <row r="124" spans="1:14" ht="15" customHeight="1" x14ac:dyDescent="0.35">
      <c r="A124" s="416" t="s">
        <v>205</v>
      </c>
      <c r="B124" s="416"/>
      <c r="C124" s="416"/>
      <c r="D124" s="419" t="s">
        <v>206</v>
      </c>
      <c r="E124" s="419"/>
      <c r="F124" s="419"/>
      <c r="G124" s="419"/>
      <c r="H124" s="419"/>
      <c r="I124" s="419"/>
      <c r="J124" s="419"/>
      <c r="K124" s="419"/>
      <c r="L124" s="419"/>
      <c r="M124" s="419"/>
      <c r="N124" s="419"/>
    </row>
    <row r="125" spans="1:14" x14ac:dyDescent="0.35">
      <c r="A125" s="124"/>
      <c r="B125" s="124"/>
      <c r="C125" s="124"/>
      <c r="D125" s="122"/>
      <c r="E125" s="122"/>
      <c r="F125" s="122"/>
      <c r="G125" s="122"/>
      <c r="H125" s="122"/>
      <c r="I125" s="122"/>
      <c r="J125" s="122"/>
      <c r="K125" s="122"/>
      <c r="L125" s="122"/>
      <c r="M125" s="122"/>
      <c r="N125" s="122"/>
    </row>
    <row r="126" spans="1:14" ht="15" customHeight="1" x14ac:dyDescent="0.35">
      <c r="A126" s="416" t="s">
        <v>161</v>
      </c>
      <c r="B126" s="416"/>
      <c r="C126" s="416"/>
      <c r="D126" s="419" t="s">
        <v>207</v>
      </c>
      <c r="E126" s="419"/>
      <c r="F126" s="419"/>
      <c r="G126" s="419"/>
      <c r="H126" s="419"/>
      <c r="I126" s="419"/>
      <c r="J126" s="419"/>
      <c r="K126" s="419"/>
      <c r="L126" s="419"/>
      <c r="M126" s="419"/>
      <c r="N126" s="419"/>
    </row>
    <row r="127" spans="1:14" x14ac:dyDescent="0.35">
      <c r="A127" s="415"/>
      <c r="B127" s="415"/>
      <c r="C127" s="415"/>
      <c r="D127" s="419"/>
      <c r="E127" s="419"/>
      <c r="F127" s="419"/>
      <c r="G127" s="419"/>
      <c r="H127" s="419"/>
      <c r="I127" s="419"/>
      <c r="J127" s="419"/>
      <c r="K127" s="419"/>
      <c r="L127" s="419"/>
      <c r="M127" s="419"/>
      <c r="N127" s="419"/>
    </row>
    <row r="128" spans="1:14" x14ac:dyDescent="0.35">
      <c r="A128" s="415"/>
      <c r="B128" s="415"/>
      <c r="C128" s="415"/>
      <c r="D128" s="415"/>
      <c r="E128" s="415"/>
      <c r="F128" s="415"/>
      <c r="G128" s="415"/>
      <c r="H128" s="415"/>
      <c r="I128" s="415"/>
      <c r="J128" s="415"/>
      <c r="K128" s="415"/>
      <c r="L128" s="415"/>
      <c r="M128" s="415"/>
      <c r="N128" s="415"/>
    </row>
    <row r="129" spans="1:14" x14ac:dyDescent="0.35">
      <c r="A129" s="426" t="s">
        <v>208</v>
      </c>
      <c r="B129" s="426"/>
      <c r="C129" s="426"/>
      <c r="D129" s="426"/>
      <c r="E129" s="426"/>
      <c r="F129" s="426"/>
      <c r="G129" s="426"/>
      <c r="H129" s="426"/>
      <c r="I129" s="426"/>
      <c r="J129" s="426"/>
      <c r="K129" s="426"/>
      <c r="L129" s="426"/>
      <c r="M129" s="426"/>
      <c r="N129" s="426"/>
    </row>
    <row r="130" spans="1:14" x14ac:dyDescent="0.35">
      <c r="A130" s="426"/>
      <c r="B130" s="426"/>
      <c r="C130" s="426"/>
      <c r="D130" s="426"/>
      <c r="E130" s="426"/>
      <c r="F130" s="426"/>
      <c r="G130" s="426"/>
      <c r="H130" s="426"/>
      <c r="I130" s="426"/>
      <c r="J130" s="426"/>
      <c r="K130" s="426"/>
      <c r="L130" s="426"/>
      <c r="M130" s="426"/>
      <c r="N130" s="426"/>
    </row>
    <row r="131" spans="1:14" x14ac:dyDescent="0.35">
      <c r="A131" s="426"/>
      <c r="B131" s="426"/>
      <c r="C131" s="426"/>
      <c r="D131" s="426"/>
      <c r="E131" s="426"/>
      <c r="F131" s="426"/>
      <c r="G131" s="426"/>
      <c r="H131" s="426"/>
      <c r="I131" s="426"/>
      <c r="J131" s="426"/>
      <c r="K131" s="426"/>
      <c r="L131" s="426"/>
      <c r="M131" s="426"/>
      <c r="N131" s="426"/>
    </row>
    <row r="132" spans="1:14" x14ac:dyDescent="0.35">
      <c r="A132" s="426"/>
      <c r="B132" s="426"/>
      <c r="C132" s="426"/>
      <c r="D132" s="426"/>
      <c r="E132" s="426"/>
      <c r="F132" s="426"/>
      <c r="G132" s="426"/>
      <c r="H132" s="426"/>
      <c r="I132" s="426"/>
      <c r="J132" s="426"/>
      <c r="K132" s="426"/>
      <c r="L132" s="426"/>
      <c r="M132" s="426"/>
      <c r="N132" s="426"/>
    </row>
  </sheetData>
  <sheetProtection algorithmName="SHA-512" hashValue="Z3dHYn7mLgqANV/QyzXfv4VTosLWHSc45DKQYtR4HmozM/tevMQXXTtTlsjum9pyMA1jfzuJ4LOvXwndojdR6Q==" saltValue="Zm90egEurQOiMH1wcIE2/A==" spinCount="100000" sheet="1" objects="1" scenarios="1"/>
  <mergeCells count="144">
    <mergeCell ref="A128:N128"/>
    <mergeCell ref="A129:N132"/>
    <mergeCell ref="A124:C124"/>
    <mergeCell ref="D124:N124"/>
    <mergeCell ref="A126:C126"/>
    <mergeCell ref="D126:N127"/>
    <mergeCell ref="A127:C127"/>
    <mergeCell ref="A119:N119"/>
    <mergeCell ref="A120:C120"/>
    <mergeCell ref="D120:N121"/>
    <mergeCell ref="D122:N122"/>
    <mergeCell ref="A123:N123"/>
    <mergeCell ref="D109:N115"/>
    <mergeCell ref="D116:N118"/>
    <mergeCell ref="D108:N108"/>
    <mergeCell ref="D97:N102"/>
    <mergeCell ref="D103:N104"/>
    <mergeCell ref="A106:C106"/>
    <mergeCell ref="D106:N107"/>
    <mergeCell ref="D105:N105"/>
    <mergeCell ref="D96:N96"/>
    <mergeCell ref="A91:C91"/>
    <mergeCell ref="A92:C92"/>
    <mergeCell ref="A93:C93"/>
    <mergeCell ref="D90:N91"/>
    <mergeCell ref="D92:N92"/>
    <mergeCell ref="D93:N95"/>
    <mergeCell ref="D83:N85"/>
    <mergeCell ref="A87:C87"/>
    <mergeCell ref="A90:C90"/>
    <mergeCell ref="D88:N89"/>
    <mergeCell ref="A88:C88"/>
    <mergeCell ref="A89:C89"/>
    <mergeCell ref="D86:N86"/>
    <mergeCell ref="D87:N87"/>
    <mergeCell ref="A82:C82"/>
    <mergeCell ref="A81:N81"/>
    <mergeCell ref="D82:N82"/>
    <mergeCell ref="A83:C83"/>
    <mergeCell ref="A84:C84"/>
    <mergeCell ref="A85:C85"/>
    <mergeCell ref="A86:C86"/>
    <mergeCell ref="A78:C78"/>
    <mergeCell ref="A79:C79"/>
    <mergeCell ref="A80:C80"/>
    <mergeCell ref="A75:C75"/>
    <mergeCell ref="A76:C76"/>
    <mergeCell ref="A77:C77"/>
    <mergeCell ref="D74:N75"/>
    <mergeCell ref="D76:N80"/>
    <mergeCell ref="D66:N66"/>
    <mergeCell ref="D63:N65"/>
    <mergeCell ref="A66:C66"/>
    <mergeCell ref="A67:C67"/>
    <mergeCell ref="A68:C68"/>
    <mergeCell ref="D67:N69"/>
    <mergeCell ref="D70:N71"/>
    <mergeCell ref="D72:N73"/>
    <mergeCell ref="A69:C69"/>
    <mergeCell ref="A70:C70"/>
    <mergeCell ref="A71:C71"/>
    <mergeCell ref="A72:C72"/>
    <mergeCell ref="A73:C73"/>
    <mergeCell ref="A74:C74"/>
    <mergeCell ref="A57:C57"/>
    <mergeCell ref="D57:N57"/>
    <mergeCell ref="D58:N58"/>
    <mergeCell ref="A58:C58"/>
    <mergeCell ref="A59:N59"/>
    <mergeCell ref="A60:C60"/>
    <mergeCell ref="D60:N62"/>
    <mergeCell ref="A61:C61"/>
    <mergeCell ref="A62:C62"/>
    <mergeCell ref="A52:C52"/>
    <mergeCell ref="D53:N54"/>
    <mergeCell ref="A53:C54"/>
    <mergeCell ref="A55:C56"/>
    <mergeCell ref="D55:N56"/>
    <mergeCell ref="A46:N48"/>
    <mergeCell ref="A49:C49"/>
    <mergeCell ref="D49:N49"/>
    <mergeCell ref="A50:C50"/>
    <mergeCell ref="A51:C51"/>
    <mergeCell ref="D50:N52"/>
    <mergeCell ref="A41:C41"/>
    <mergeCell ref="D41:N41"/>
    <mergeCell ref="A42:N42"/>
    <mergeCell ref="A43:N43"/>
    <mergeCell ref="A44:N44"/>
    <mergeCell ref="A45:N45"/>
    <mergeCell ref="D28:N29"/>
    <mergeCell ref="D32:N33"/>
    <mergeCell ref="A36:N36"/>
    <mergeCell ref="A37:N37"/>
    <mergeCell ref="A38:N38"/>
    <mergeCell ref="A40:C40"/>
    <mergeCell ref="D40:N40"/>
    <mergeCell ref="A33:C33"/>
    <mergeCell ref="A35:C35"/>
    <mergeCell ref="D27:N27"/>
    <mergeCell ref="D30:N30"/>
    <mergeCell ref="D31:N31"/>
    <mergeCell ref="D35:N35"/>
    <mergeCell ref="A27:C27"/>
    <mergeCell ref="A28:C28"/>
    <mergeCell ref="A29:C29"/>
    <mergeCell ref="A30:C30"/>
    <mergeCell ref="A31:C31"/>
    <mergeCell ref="A32:C32"/>
    <mergeCell ref="D26:N26"/>
    <mergeCell ref="D19:N20"/>
    <mergeCell ref="A23:N23"/>
    <mergeCell ref="D22:N22"/>
    <mergeCell ref="D24:N24"/>
    <mergeCell ref="D25:N25"/>
    <mergeCell ref="A26:C26"/>
    <mergeCell ref="D10:N10"/>
    <mergeCell ref="D11:N11"/>
    <mergeCell ref="D12:N12"/>
    <mergeCell ref="D13:N13"/>
    <mergeCell ref="D14:N14"/>
    <mergeCell ref="D15:N15"/>
    <mergeCell ref="D16:N16"/>
    <mergeCell ref="D17:N17"/>
    <mergeCell ref="D18:N18"/>
    <mergeCell ref="A19:C19"/>
    <mergeCell ref="A22:C22"/>
    <mergeCell ref="A24:C24"/>
    <mergeCell ref="A25:C25"/>
    <mergeCell ref="A12:C12"/>
    <mergeCell ref="A13:C13"/>
    <mergeCell ref="A14:C14"/>
    <mergeCell ref="A15:C15"/>
    <mergeCell ref="A1:N1"/>
    <mergeCell ref="A2:N2"/>
    <mergeCell ref="A16:C16"/>
    <mergeCell ref="A17:C17"/>
    <mergeCell ref="A18:C18"/>
    <mergeCell ref="A11:C11"/>
    <mergeCell ref="A9:N9"/>
    <mergeCell ref="A10:C10"/>
    <mergeCell ref="A8:N8"/>
    <mergeCell ref="A7:N7"/>
    <mergeCell ref="A3:N6"/>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B8D79-C12B-40D5-82F7-86CFA9A338D0}">
  <sheetPr codeName="Hárok4"/>
  <dimension ref="A1:D29"/>
  <sheetViews>
    <sheetView workbookViewId="0">
      <selection activeCell="C19" sqref="C19"/>
    </sheetView>
  </sheetViews>
  <sheetFormatPr defaultColWidth="9.1796875" defaultRowHeight="14.5" x14ac:dyDescent="0.35"/>
  <cols>
    <col min="1" max="1" width="12" style="126" customWidth="1"/>
    <col min="2" max="2" width="10.453125" style="126" customWidth="1"/>
    <col min="3" max="3" width="90.81640625" style="126" customWidth="1"/>
    <col min="4" max="4" width="28.453125" style="126" customWidth="1"/>
    <col min="5" max="16384" width="9.1796875" style="126"/>
  </cols>
  <sheetData>
    <row r="1" spans="1:4" ht="26.25" customHeight="1" thickBot="1" x14ac:dyDescent="0.4">
      <c r="A1" s="136" t="s">
        <v>80</v>
      </c>
      <c r="B1" s="137" t="s">
        <v>81</v>
      </c>
      <c r="C1" s="137" t="s">
        <v>82</v>
      </c>
      <c r="D1" s="138" t="s">
        <v>96</v>
      </c>
    </row>
    <row r="2" spans="1:4" x14ac:dyDescent="0.35">
      <c r="A2" s="127" t="s">
        <v>209</v>
      </c>
      <c r="B2" s="128" t="s">
        <v>86</v>
      </c>
      <c r="C2" s="128" t="s">
        <v>90</v>
      </c>
      <c r="D2" s="129"/>
    </row>
    <row r="3" spans="1:4" x14ac:dyDescent="0.35">
      <c r="A3" s="130" t="s">
        <v>83</v>
      </c>
      <c r="B3" s="131" t="s">
        <v>88</v>
      </c>
      <c r="C3" s="131" t="s">
        <v>91</v>
      </c>
      <c r="D3" s="132" t="s">
        <v>93</v>
      </c>
    </row>
    <row r="4" spans="1:4" x14ac:dyDescent="0.35">
      <c r="A4" s="130" t="s">
        <v>84</v>
      </c>
      <c r="B4" s="131" t="s">
        <v>87</v>
      </c>
      <c r="C4" s="131" t="s">
        <v>92</v>
      </c>
      <c r="D4" s="132" t="s">
        <v>94</v>
      </c>
    </row>
    <row r="5" spans="1:4" ht="43.5" x14ac:dyDescent="0.35">
      <c r="A5" s="130" t="s">
        <v>85</v>
      </c>
      <c r="B5" s="131" t="s">
        <v>89</v>
      </c>
      <c r="C5" s="131" t="s">
        <v>236</v>
      </c>
      <c r="D5" s="132" t="s">
        <v>95</v>
      </c>
    </row>
    <row r="6" spans="1:4" x14ac:dyDescent="0.35">
      <c r="A6" s="130" t="s">
        <v>235</v>
      </c>
      <c r="B6" s="158">
        <v>45460</v>
      </c>
      <c r="C6" s="131" t="s">
        <v>237</v>
      </c>
      <c r="D6" s="132" t="s">
        <v>95</v>
      </c>
    </row>
    <row r="7" spans="1:4" x14ac:dyDescent="0.35">
      <c r="A7" s="130" t="s">
        <v>241</v>
      </c>
      <c r="B7" s="158">
        <v>45824</v>
      </c>
      <c r="C7" s="131" t="s">
        <v>240</v>
      </c>
      <c r="D7" s="132" t="s">
        <v>95</v>
      </c>
    </row>
    <row r="8" spans="1:4" x14ac:dyDescent="0.35">
      <c r="A8" s="130"/>
      <c r="B8" s="131"/>
      <c r="C8" s="131"/>
      <c r="D8" s="132"/>
    </row>
    <row r="9" spans="1:4" x14ac:dyDescent="0.35">
      <c r="A9" s="130"/>
      <c r="B9" s="131"/>
      <c r="C9" s="131"/>
      <c r="D9" s="132"/>
    </row>
    <row r="10" spans="1:4" x14ac:dyDescent="0.35">
      <c r="A10" s="130"/>
      <c r="B10" s="131"/>
      <c r="C10" s="131"/>
      <c r="D10" s="132"/>
    </row>
    <row r="11" spans="1:4" x14ac:dyDescent="0.35">
      <c r="A11" s="130"/>
      <c r="B11" s="131"/>
      <c r="C11" s="131"/>
      <c r="D11" s="132"/>
    </row>
    <row r="12" spans="1:4" x14ac:dyDescent="0.35">
      <c r="A12" s="130"/>
      <c r="B12" s="131"/>
      <c r="C12" s="131"/>
      <c r="D12" s="132"/>
    </row>
    <row r="13" spans="1:4" ht="15" thickBot="1" x14ac:dyDescent="0.4">
      <c r="A13" s="133"/>
      <c r="B13" s="134"/>
      <c r="C13" s="134"/>
      <c r="D13" s="135"/>
    </row>
    <row r="14" spans="1:4" x14ac:dyDescent="0.35">
      <c r="A14" s="125"/>
      <c r="B14" s="125"/>
      <c r="C14" s="125"/>
      <c r="D14" s="125"/>
    </row>
    <row r="15" spans="1:4" x14ac:dyDescent="0.35">
      <c r="A15" s="125"/>
      <c r="B15" s="125"/>
      <c r="C15" s="125"/>
      <c r="D15" s="125"/>
    </row>
    <row r="16" spans="1:4" x14ac:dyDescent="0.35">
      <c r="A16" s="125"/>
      <c r="B16" s="125"/>
      <c r="C16" s="125"/>
      <c r="D16" s="125"/>
    </row>
    <row r="17" spans="1:4" x14ac:dyDescent="0.35">
      <c r="A17" s="125"/>
      <c r="B17" s="125"/>
      <c r="C17" s="125"/>
      <c r="D17" s="125"/>
    </row>
    <row r="18" spans="1:4" x14ac:dyDescent="0.35">
      <c r="A18" s="125"/>
      <c r="B18" s="125"/>
      <c r="C18" s="125"/>
      <c r="D18" s="125"/>
    </row>
    <row r="19" spans="1:4" x14ac:dyDescent="0.35">
      <c r="A19" s="125"/>
      <c r="B19" s="125"/>
      <c r="C19" s="125"/>
      <c r="D19" s="125"/>
    </row>
    <row r="20" spans="1:4" x14ac:dyDescent="0.35">
      <c r="A20" s="125"/>
      <c r="B20" s="125"/>
      <c r="C20" s="125"/>
      <c r="D20" s="125"/>
    </row>
    <row r="21" spans="1:4" x14ac:dyDescent="0.35">
      <c r="A21" s="125"/>
      <c r="B21" s="125"/>
      <c r="C21" s="125"/>
      <c r="D21" s="125"/>
    </row>
    <row r="22" spans="1:4" x14ac:dyDescent="0.35">
      <c r="A22" s="125"/>
      <c r="B22" s="125"/>
      <c r="C22" s="125"/>
      <c r="D22" s="125"/>
    </row>
    <row r="23" spans="1:4" x14ac:dyDescent="0.35">
      <c r="A23" s="125"/>
      <c r="B23" s="125"/>
      <c r="C23" s="125"/>
      <c r="D23" s="125"/>
    </row>
    <row r="24" spans="1:4" x14ac:dyDescent="0.35">
      <c r="A24" s="125"/>
      <c r="B24" s="125"/>
      <c r="C24" s="125"/>
      <c r="D24" s="125"/>
    </row>
    <row r="25" spans="1:4" x14ac:dyDescent="0.35">
      <c r="A25" s="125"/>
      <c r="B25" s="125"/>
      <c r="C25" s="125"/>
      <c r="D25" s="125"/>
    </row>
    <row r="26" spans="1:4" x14ac:dyDescent="0.35">
      <c r="A26" s="125"/>
      <c r="B26" s="125"/>
      <c r="C26" s="125"/>
      <c r="D26" s="125"/>
    </row>
    <row r="27" spans="1:4" x14ac:dyDescent="0.35">
      <c r="A27" s="125"/>
      <c r="B27" s="125"/>
      <c r="C27" s="125"/>
      <c r="D27" s="125"/>
    </row>
    <row r="28" spans="1:4" x14ac:dyDescent="0.35">
      <c r="A28" s="125"/>
      <c r="B28" s="125"/>
      <c r="C28" s="125"/>
      <c r="D28" s="125"/>
    </row>
    <row r="29" spans="1:4" x14ac:dyDescent="0.35">
      <c r="A29" s="125"/>
      <c r="B29" s="125"/>
      <c r="C29" s="125"/>
      <c r="D29" s="125"/>
    </row>
  </sheetData>
  <sheetProtection algorithmName="SHA-512" hashValue="Gyo6MuWsUK3dnyVLQKrOlDtJ+eptbUfKKdjD+BFzckSROtDO/4PpGrm92snWRn0htnyT0/6njGfKJ0ils/8ppg==" saltValue="gQg6zJSlJoHv04Ng9TkSGQ==" spinCount="100000" sheet="1" objects="1" scenarios="1"/>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173E-E482-4A91-8FB0-1F2E3C86DF21}">
  <sheetPr codeName="Hárok5"/>
  <dimension ref="A1:AJ83"/>
  <sheetViews>
    <sheetView zoomScale="115" zoomScaleNormal="115" workbookViewId="0">
      <selection activeCell="AG29" sqref="AG29"/>
    </sheetView>
  </sheetViews>
  <sheetFormatPr defaultColWidth="9.1796875" defaultRowHeight="13" x14ac:dyDescent="0.35"/>
  <cols>
    <col min="1" max="1" width="2.453125" style="5" customWidth="1"/>
    <col min="2" max="2" width="5.81640625" style="5" customWidth="1"/>
    <col min="3" max="3" width="26.453125" style="5" customWidth="1"/>
    <col min="4" max="4" width="5.1796875" style="5" bestFit="1" customWidth="1"/>
    <col min="5" max="16" width="3.453125" style="5" customWidth="1"/>
    <col min="17" max="25" width="4.26953125" style="5" customWidth="1"/>
    <col min="26" max="26" width="7.453125" style="5" customWidth="1"/>
    <col min="27" max="27" width="13.7265625" style="5" customWidth="1"/>
    <col min="28" max="38" width="9.1796875" style="5" customWidth="1"/>
    <col min="39" max="16384" width="9.1796875" style="5"/>
  </cols>
  <sheetData>
    <row r="1" spans="1:36" ht="36.75" customHeight="1" x14ac:dyDescent="0.35">
      <c r="A1" s="3"/>
      <c r="B1" s="188" t="s">
        <v>21</v>
      </c>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4"/>
      <c r="AC1" s="4"/>
    </row>
    <row r="2" spans="1:36" ht="1.5" customHeight="1" thickBot="1" x14ac:dyDescent="0.4">
      <c r="A2" s="3"/>
      <c r="B2" s="3"/>
      <c r="C2" s="3"/>
      <c r="D2" s="3"/>
      <c r="E2" s="3"/>
      <c r="F2" s="3"/>
      <c r="G2" s="3"/>
      <c r="H2" s="3"/>
      <c r="I2" s="3"/>
      <c r="J2" s="3"/>
      <c r="K2" s="3"/>
      <c r="L2" s="3"/>
      <c r="M2" s="3"/>
      <c r="N2" s="3"/>
      <c r="O2" s="3"/>
      <c r="P2" s="3"/>
      <c r="Q2" s="3"/>
      <c r="R2" s="3"/>
      <c r="S2" s="3"/>
      <c r="T2" s="3"/>
      <c r="U2" s="3"/>
      <c r="V2" s="3"/>
      <c r="W2" s="3"/>
      <c r="X2" s="3"/>
      <c r="Y2" s="3"/>
      <c r="Z2" s="3"/>
      <c r="AA2" s="3"/>
    </row>
    <row r="3" spans="1:36" ht="13.5" thickBot="1" x14ac:dyDescent="0.4">
      <c r="A3" s="3"/>
      <c r="B3" s="115" t="s">
        <v>117</v>
      </c>
      <c r="C3" s="3"/>
      <c r="D3" s="189" t="s">
        <v>23</v>
      </c>
      <c r="E3" s="190"/>
      <c r="F3" s="190"/>
      <c r="G3" s="190"/>
      <c r="H3" s="190"/>
      <c r="I3" s="190"/>
      <c r="J3" s="190"/>
      <c r="K3" s="190"/>
      <c r="L3" s="191"/>
      <c r="M3" s="3" t="s">
        <v>22</v>
      </c>
      <c r="N3" s="189" t="s">
        <v>24</v>
      </c>
      <c r="O3" s="190"/>
      <c r="P3" s="190"/>
      <c r="Q3" s="190"/>
      <c r="R3" s="190"/>
      <c r="S3" s="190"/>
      <c r="T3" s="190"/>
      <c r="U3" s="191"/>
      <c r="V3" s="6"/>
      <c r="W3" s="3"/>
      <c r="X3" s="3"/>
      <c r="Y3" s="3"/>
      <c r="Z3" s="3"/>
      <c r="AA3" s="3"/>
    </row>
    <row r="4" spans="1:36" ht="13.5" thickBot="1" x14ac:dyDescent="0.4">
      <c r="A4" s="3"/>
      <c r="B4" s="3"/>
      <c r="C4" s="3"/>
      <c r="D4" s="192" t="s">
        <v>230</v>
      </c>
      <c r="E4" s="193"/>
      <c r="F4" s="193"/>
      <c r="G4" s="193"/>
      <c r="H4" s="193"/>
      <c r="I4" s="193"/>
      <c r="J4" s="193"/>
      <c r="K4" s="193"/>
      <c r="L4" s="194"/>
      <c r="M4" s="3" t="s">
        <v>22</v>
      </c>
      <c r="N4" s="192" t="s">
        <v>231</v>
      </c>
      <c r="O4" s="193"/>
      <c r="P4" s="193"/>
      <c r="Q4" s="193"/>
      <c r="R4" s="193"/>
      <c r="S4" s="193"/>
      <c r="T4" s="193"/>
      <c r="U4" s="194"/>
      <c r="V4" s="6"/>
      <c r="W4" s="3"/>
      <c r="X4" s="3"/>
      <c r="Y4" s="3"/>
      <c r="Z4" s="3"/>
      <c r="AA4" s="3"/>
    </row>
    <row r="5" spans="1:36" ht="13.5" thickBot="1" x14ac:dyDescent="0.4">
      <c r="A5" s="3"/>
      <c r="B5" s="3"/>
      <c r="C5" s="7" t="s">
        <v>30</v>
      </c>
      <c r="D5" s="192">
        <v>55</v>
      </c>
      <c r="E5" s="193"/>
      <c r="F5" s="193"/>
      <c r="G5" s="193"/>
      <c r="H5" s="193"/>
      <c r="I5" s="193"/>
      <c r="J5" s="193"/>
      <c r="K5" s="193"/>
      <c r="L5" s="194"/>
      <c r="M5" s="3" t="s">
        <v>22</v>
      </c>
      <c r="N5" s="192">
        <v>57</v>
      </c>
      <c r="O5" s="193"/>
      <c r="P5" s="193"/>
      <c r="Q5" s="193"/>
      <c r="R5" s="193"/>
      <c r="S5" s="193"/>
      <c r="T5" s="193"/>
      <c r="U5" s="194"/>
      <c r="V5" s="6"/>
      <c r="W5" s="3"/>
      <c r="X5" s="3"/>
      <c r="Y5" s="3"/>
      <c r="Z5" s="3"/>
      <c r="AA5" s="8"/>
    </row>
    <row r="6" spans="1:36" ht="7.5" customHeight="1" thickBot="1" x14ac:dyDescent="0.4">
      <c r="A6" s="3"/>
      <c r="B6" s="3"/>
      <c r="C6" s="3"/>
      <c r="D6" s="3"/>
      <c r="E6" s="3"/>
      <c r="F6" s="3"/>
      <c r="G6" s="3"/>
      <c r="H6" s="3"/>
      <c r="I6" s="3"/>
      <c r="J6" s="3"/>
      <c r="K6" s="3"/>
      <c r="L6" s="3"/>
      <c r="M6" s="3"/>
      <c r="N6" s="3"/>
      <c r="O6" s="3"/>
      <c r="P6" s="3"/>
      <c r="Q6" s="3"/>
      <c r="R6" s="3"/>
      <c r="S6" s="3"/>
      <c r="T6" s="3"/>
      <c r="U6" s="3"/>
      <c r="V6" s="3"/>
      <c r="W6" s="3"/>
      <c r="X6" s="3"/>
      <c r="Y6" s="3"/>
      <c r="Z6" s="3"/>
      <c r="AA6" s="8"/>
    </row>
    <row r="7" spans="1:36" ht="13.5" customHeight="1" x14ac:dyDescent="0.35">
      <c r="A7" s="3"/>
      <c r="B7" s="3"/>
      <c r="C7" s="198" t="s">
        <v>25</v>
      </c>
      <c r="D7" s="219"/>
      <c r="E7" s="222">
        <v>22101</v>
      </c>
      <c r="F7" s="223"/>
      <c r="G7" s="223"/>
      <c r="H7" s="223"/>
      <c r="I7" s="223"/>
      <c r="J7" s="223"/>
      <c r="K7" s="223"/>
      <c r="L7" s="224"/>
      <c r="M7" s="3"/>
      <c r="N7" s="9"/>
      <c r="O7" s="9"/>
      <c r="P7" s="198" t="s">
        <v>31</v>
      </c>
      <c r="Q7" s="199"/>
      <c r="R7" s="199"/>
      <c r="S7" s="199"/>
      <c r="T7" s="199"/>
      <c r="U7" s="199"/>
      <c r="V7" s="199"/>
      <c r="W7" s="200"/>
      <c r="X7" s="108">
        <v>12</v>
      </c>
      <c r="Y7" s="10">
        <v>12</v>
      </c>
      <c r="Z7" s="3"/>
      <c r="AA7" s="11" t="str">
        <f>D4</f>
        <v>ŠBK Junior Levice</v>
      </c>
    </row>
    <row r="8" spans="1:36" ht="13.5" customHeight="1" x14ac:dyDescent="0.35">
      <c r="A8" s="3"/>
      <c r="B8" s="3"/>
      <c r="C8" s="201" t="s">
        <v>26</v>
      </c>
      <c r="D8" s="220"/>
      <c r="E8" s="436">
        <v>45125</v>
      </c>
      <c r="F8" s="437"/>
      <c r="G8" s="437"/>
      <c r="H8" s="437"/>
      <c r="I8" s="437"/>
      <c r="J8" s="437"/>
      <c r="K8" s="437"/>
      <c r="L8" s="438"/>
      <c r="M8" s="3"/>
      <c r="N8" s="9"/>
      <c r="O8" s="9"/>
      <c r="P8" s="201" t="s">
        <v>35</v>
      </c>
      <c r="Q8" s="202"/>
      <c r="R8" s="202"/>
      <c r="S8" s="202"/>
      <c r="T8" s="202"/>
      <c r="U8" s="202"/>
      <c r="V8" s="202"/>
      <c r="W8" s="203"/>
      <c r="X8" s="109">
        <v>24</v>
      </c>
      <c r="Y8" s="12">
        <v>24</v>
      </c>
      <c r="Z8" s="3"/>
      <c r="AA8" s="11" t="str">
        <f>N4</f>
        <v>MBA Prievidza</v>
      </c>
    </row>
    <row r="9" spans="1:36" ht="13.5" customHeight="1" x14ac:dyDescent="0.35">
      <c r="A9" s="3"/>
      <c r="B9" s="3"/>
      <c r="C9" s="201" t="s">
        <v>27</v>
      </c>
      <c r="D9" s="220"/>
      <c r="E9" s="430" t="s">
        <v>105</v>
      </c>
      <c r="F9" s="431"/>
      <c r="G9" s="431"/>
      <c r="H9" s="431"/>
      <c r="I9" s="431"/>
      <c r="J9" s="431"/>
      <c r="K9" s="431"/>
      <c r="L9" s="432"/>
      <c r="M9" s="3"/>
      <c r="N9" s="9"/>
      <c r="O9" s="9"/>
      <c r="P9" s="201" t="s">
        <v>34</v>
      </c>
      <c r="Q9" s="202"/>
      <c r="R9" s="202"/>
      <c r="S9" s="202"/>
      <c r="T9" s="202"/>
      <c r="U9" s="202"/>
      <c r="V9" s="202"/>
      <c r="W9" s="203"/>
      <c r="X9" s="109">
        <v>40</v>
      </c>
      <c r="Y9" s="12">
        <v>40</v>
      </c>
      <c r="Z9" s="3"/>
      <c r="AA9" s="3"/>
    </row>
    <row r="10" spans="1:36" ht="13.5" customHeight="1" x14ac:dyDescent="0.35">
      <c r="A10" s="3"/>
      <c r="B10" s="3"/>
      <c r="C10" s="201" t="s">
        <v>28</v>
      </c>
      <c r="D10" s="220"/>
      <c r="E10" s="433" t="s">
        <v>229</v>
      </c>
      <c r="F10" s="434"/>
      <c r="G10" s="434"/>
      <c r="H10" s="434"/>
      <c r="I10" s="434"/>
      <c r="J10" s="434"/>
      <c r="K10" s="434"/>
      <c r="L10" s="435"/>
      <c r="M10" s="3"/>
      <c r="N10" s="9"/>
      <c r="O10" s="9"/>
      <c r="P10" s="201" t="s">
        <v>33</v>
      </c>
      <c r="Q10" s="202"/>
      <c r="R10" s="202"/>
      <c r="S10" s="202"/>
      <c r="T10" s="202"/>
      <c r="U10" s="202"/>
      <c r="V10" s="202"/>
      <c r="W10" s="203"/>
      <c r="X10" s="109">
        <v>55</v>
      </c>
      <c r="Y10" s="12">
        <v>57</v>
      </c>
      <c r="Z10" s="3"/>
      <c r="AA10" s="3"/>
    </row>
    <row r="11" spans="1:36" ht="13.5" customHeight="1" thickBot="1" x14ac:dyDescent="0.4">
      <c r="A11" s="3"/>
      <c r="B11" s="3"/>
      <c r="C11" s="204" t="s">
        <v>29</v>
      </c>
      <c r="D11" s="221"/>
      <c r="E11" s="216" t="s">
        <v>230</v>
      </c>
      <c r="F11" s="217"/>
      <c r="G11" s="217"/>
      <c r="H11" s="217"/>
      <c r="I11" s="217"/>
      <c r="J11" s="217"/>
      <c r="K11" s="217"/>
      <c r="L11" s="218"/>
      <c r="M11" s="3"/>
      <c r="N11" s="9"/>
      <c r="O11" s="9"/>
      <c r="P11" s="204" t="s">
        <v>32</v>
      </c>
      <c r="Q11" s="205"/>
      <c r="R11" s="205"/>
      <c r="S11" s="205"/>
      <c r="T11" s="205"/>
      <c r="U11" s="205"/>
      <c r="V11" s="205"/>
      <c r="W11" s="206"/>
      <c r="X11" s="110"/>
      <c r="Y11" s="13"/>
      <c r="Z11" s="3"/>
      <c r="AA11" s="3"/>
    </row>
    <row r="12" spans="1:36" ht="7.5" customHeight="1" thickBot="1" x14ac:dyDescent="0.4">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spans="1:36" ht="15" customHeight="1" thickBot="1" x14ac:dyDescent="0.4">
      <c r="A13" s="3"/>
      <c r="B13" s="175" t="s">
        <v>10</v>
      </c>
      <c r="C13" s="178" t="s">
        <v>9</v>
      </c>
      <c r="D13" s="178" t="s">
        <v>1</v>
      </c>
      <c r="E13" s="195" t="s">
        <v>0</v>
      </c>
      <c r="F13" s="196"/>
      <c r="G13" s="196"/>
      <c r="H13" s="196"/>
      <c r="I13" s="196"/>
      <c r="J13" s="196"/>
      <c r="K13" s="196"/>
      <c r="L13" s="196"/>
      <c r="M13" s="196"/>
      <c r="N13" s="196"/>
      <c r="O13" s="196"/>
      <c r="P13" s="197"/>
      <c r="Q13" s="184" t="s">
        <v>11</v>
      </c>
      <c r="R13" s="184" t="s">
        <v>12</v>
      </c>
      <c r="S13" s="184" t="s">
        <v>13</v>
      </c>
      <c r="T13" s="184" t="s">
        <v>14</v>
      </c>
      <c r="U13" s="184" t="s">
        <v>15</v>
      </c>
      <c r="V13" s="184" t="s">
        <v>16</v>
      </c>
      <c r="W13" s="184" t="s">
        <v>17</v>
      </c>
      <c r="X13" s="184" t="s">
        <v>18</v>
      </c>
      <c r="Y13" s="184" t="s">
        <v>19</v>
      </c>
      <c r="Z13" s="184" t="s">
        <v>20</v>
      </c>
      <c r="AA13" s="187"/>
    </row>
    <row r="14" spans="1:36" ht="15" customHeight="1" x14ac:dyDescent="0.35">
      <c r="A14" s="3"/>
      <c r="B14" s="176"/>
      <c r="C14" s="179"/>
      <c r="D14" s="179"/>
      <c r="E14" s="181" t="s">
        <v>2</v>
      </c>
      <c r="F14" s="182"/>
      <c r="G14" s="183"/>
      <c r="H14" s="181" t="s">
        <v>3</v>
      </c>
      <c r="I14" s="182"/>
      <c r="J14" s="183"/>
      <c r="K14" s="181" t="s">
        <v>4</v>
      </c>
      <c r="L14" s="182"/>
      <c r="M14" s="183"/>
      <c r="N14" s="181" t="s">
        <v>5</v>
      </c>
      <c r="O14" s="182"/>
      <c r="P14" s="183"/>
      <c r="Q14" s="185"/>
      <c r="R14" s="185"/>
      <c r="S14" s="185"/>
      <c r="T14" s="185"/>
      <c r="U14" s="185"/>
      <c r="V14" s="185"/>
      <c r="W14" s="185"/>
      <c r="X14" s="185"/>
      <c r="Y14" s="185"/>
      <c r="Z14" s="185"/>
      <c r="AA14" s="187"/>
    </row>
    <row r="15" spans="1:36" ht="15" customHeight="1" thickBot="1" x14ac:dyDescent="0.5">
      <c r="A15" s="3"/>
      <c r="B15" s="177"/>
      <c r="C15" s="180"/>
      <c r="D15" s="180"/>
      <c r="E15" s="14" t="s">
        <v>6</v>
      </c>
      <c r="F15" s="15" t="s">
        <v>7</v>
      </c>
      <c r="G15" s="16" t="s">
        <v>8</v>
      </c>
      <c r="H15" s="14" t="s">
        <v>6</v>
      </c>
      <c r="I15" s="15" t="s">
        <v>7</v>
      </c>
      <c r="J15" s="16" t="s">
        <v>8</v>
      </c>
      <c r="K15" s="14" t="s">
        <v>6</v>
      </c>
      <c r="L15" s="15" t="s">
        <v>7</v>
      </c>
      <c r="M15" s="16" t="s">
        <v>8</v>
      </c>
      <c r="N15" s="14" t="s">
        <v>6</v>
      </c>
      <c r="O15" s="15" t="s">
        <v>7</v>
      </c>
      <c r="P15" s="16" t="s">
        <v>8</v>
      </c>
      <c r="Q15" s="186"/>
      <c r="R15" s="186"/>
      <c r="S15" s="186"/>
      <c r="T15" s="186"/>
      <c r="U15" s="186"/>
      <c r="V15" s="186"/>
      <c r="W15" s="186"/>
      <c r="X15" s="186"/>
      <c r="Y15" s="186"/>
      <c r="Z15" s="186"/>
      <c r="AA15" s="187"/>
      <c r="AE15" s="114"/>
      <c r="AG15" s="17"/>
    </row>
    <row r="16" spans="1:36" ht="14.5" x14ac:dyDescent="0.35">
      <c r="A16" s="3"/>
      <c r="B16" s="111" t="s">
        <v>218</v>
      </c>
      <c r="C16" s="18" t="s">
        <v>220</v>
      </c>
      <c r="D16" s="19">
        <v>17</v>
      </c>
      <c r="E16" s="20">
        <v>2</v>
      </c>
      <c r="F16" s="21">
        <v>3</v>
      </c>
      <c r="G16" s="143">
        <f>IFERROR((E16/F16*100),0)</f>
        <v>66.666666666666657</v>
      </c>
      <c r="H16" s="20">
        <v>2</v>
      </c>
      <c r="I16" s="21">
        <v>2</v>
      </c>
      <c r="J16" s="143">
        <f>IFERROR((H16/I16*100),0)</f>
        <v>100</v>
      </c>
      <c r="K16" s="22">
        <f>E16+H16</f>
        <v>4</v>
      </c>
      <c r="L16" s="23">
        <f>F16+I16</f>
        <v>5</v>
      </c>
      <c r="M16" s="143">
        <f>IFERROR((K16/L16*100),0)</f>
        <v>80</v>
      </c>
      <c r="N16" s="20">
        <v>2</v>
      </c>
      <c r="O16" s="21">
        <v>2</v>
      </c>
      <c r="P16" s="146">
        <f>IFERROR((N16/O16*100),0)</f>
        <v>100</v>
      </c>
      <c r="Q16" s="24">
        <f>(E16*2)+(H16*3)+(N16*1)</f>
        <v>12</v>
      </c>
      <c r="R16" s="20">
        <v>1</v>
      </c>
      <c r="S16" s="21">
        <v>1</v>
      </c>
      <c r="T16" s="21">
        <v>1</v>
      </c>
      <c r="U16" s="21">
        <v>1</v>
      </c>
      <c r="V16" s="21">
        <v>1</v>
      </c>
      <c r="W16" s="21">
        <v>0</v>
      </c>
      <c r="X16" s="21">
        <v>2</v>
      </c>
      <c r="Y16" s="25">
        <v>1</v>
      </c>
      <c r="Z16" s="104">
        <f>(Q16+R16+S16+T16+V16+W16)-((L16-K16)+(O16-N16)+U16)</f>
        <v>14</v>
      </c>
      <c r="AA16" s="139" t="s">
        <v>119</v>
      </c>
      <c r="AG16" s="17"/>
      <c r="AH16"/>
      <c r="AI16"/>
      <c r="AJ16"/>
    </row>
    <row r="17" spans="1:36" ht="14.5" x14ac:dyDescent="0.35">
      <c r="A17" s="3"/>
      <c r="B17" s="112" t="s">
        <v>123</v>
      </c>
      <c r="C17" s="26" t="s">
        <v>221</v>
      </c>
      <c r="D17" s="27">
        <v>24</v>
      </c>
      <c r="E17" s="28">
        <v>2</v>
      </c>
      <c r="F17" s="29">
        <v>4</v>
      </c>
      <c r="G17" s="144">
        <f t="shared" ref="G17:G35" si="0">IFERROR((E17/F17*100),0)</f>
        <v>50</v>
      </c>
      <c r="H17" s="28">
        <v>2</v>
      </c>
      <c r="I17" s="29">
        <v>2</v>
      </c>
      <c r="J17" s="144">
        <f t="shared" ref="J17:J37" si="1">IFERROR((H17/I17*100),0)</f>
        <v>100</v>
      </c>
      <c r="K17" s="30">
        <f>E17+H17</f>
        <v>4</v>
      </c>
      <c r="L17" s="31">
        <f t="shared" ref="L17:L35" si="2">F17+I17</f>
        <v>6</v>
      </c>
      <c r="M17" s="144">
        <f t="shared" ref="M17:M35" si="3">IFERROR((K17/L17*100),0)</f>
        <v>66.666666666666657</v>
      </c>
      <c r="N17" s="28">
        <v>2</v>
      </c>
      <c r="O17" s="29">
        <v>2</v>
      </c>
      <c r="P17" s="147">
        <f t="shared" ref="P17:P35" si="4">IFERROR((N17/O17*100),0)</f>
        <v>100</v>
      </c>
      <c r="Q17" s="32">
        <f t="shared" ref="Q17:Q35" si="5">(E17*2)+(H17*3)+(N17*1)</f>
        <v>12</v>
      </c>
      <c r="R17" s="28">
        <v>1</v>
      </c>
      <c r="S17" s="29">
        <v>2</v>
      </c>
      <c r="T17" s="29">
        <v>1</v>
      </c>
      <c r="U17" s="29">
        <v>1</v>
      </c>
      <c r="V17" s="29">
        <v>0</v>
      </c>
      <c r="W17" s="29">
        <v>0</v>
      </c>
      <c r="X17" s="29">
        <v>2</v>
      </c>
      <c r="Y17" s="33">
        <v>1</v>
      </c>
      <c r="Z17" s="102">
        <f t="shared" ref="Z17:Z35" si="6">(Q17+R17+S17+T17+V17+W17)-((L17-K17)+(O17-N17)+U17)</f>
        <v>13</v>
      </c>
      <c r="AA17" s="139" t="s">
        <v>99</v>
      </c>
      <c r="AG17" s="17"/>
      <c r="AH17"/>
      <c r="AI17"/>
      <c r="AJ17"/>
    </row>
    <row r="18" spans="1:36" ht="14.5" x14ac:dyDescent="0.35">
      <c r="A18" s="3"/>
      <c r="B18" s="112" t="s">
        <v>124</v>
      </c>
      <c r="C18" s="26" t="s">
        <v>222</v>
      </c>
      <c r="D18" s="27">
        <v>36</v>
      </c>
      <c r="E18" s="28">
        <v>2</v>
      </c>
      <c r="F18" s="29">
        <v>5</v>
      </c>
      <c r="G18" s="144">
        <f t="shared" si="0"/>
        <v>40</v>
      </c>
      <c r="H18" s="28">
        <v>2</v>
      </c>
      <c r="I18" s="29">
        <v>2</v>
      </c>
      <c r="J18" s="144">
        <f t="shared" si="1"/>
        <v>100</v>
      </c>
      <c r="K18" s="30">
        <f t="shared" ref="K18:K19" si="7">E18+H18</f>
        <v>4</v>
      </c>
      <c r="L18" s="31">
        <f t="shared" si="2"/>
        <v>7</v>
      </c>
      <c r="M18" s="144">
        <f t="shared" si="3"/>
        <v>57.142857142857139</v>
      </c>
      <c r="N18" s="28">
        <v>0</v>
      </c>
      <c r="O18" s="29">
        <v>0</v>
      </c>
      <c r="P18" s="147">
        <f t="shared" si="4"/>
        <v>0</v>
      </c>
      <c r="Q18" s="32">
        <f t="shared" si="5"/>
        <v>10</v>
      </c>
      <c r="R18" s="28">
        <v>2</v>
      </c>
      <c r="S18" s="29">
        <v>0</v>
      </c>
      <c r="T18" s="29">
        <v>0</v>
      </c>
      <c r="U18" s="29">
        <v>0</v>
      </c>
      <c r="V18" s="29">
        <v>0</v>
      </c>
      <c r="W18" s="29">
        <v>0</v>
      </c>
      <c r="X18" s="29">
        <v>4</v>
      </c>
      <c r="Y18" s="33">
        <v>0</v>
      </c>
      <c r="Z18" s="102">
        <f>(Q18+R18+S18+T18+V18+W18)-((L18-K18)+(O18-N18)+U18)</f>
        <v>9</v>
      </c>
      <c r="AA18" s="139" t="s">
        <v>100</v>
      </c>
      <c r="AG18" s="17"/>
      <c r="AH18"/>
      <c r="AI18"/>
      <c r="AJ18"/>
    </row>
    <row r="19" spans="1:36" ht="14.5" x14ac:dyDescent="0.35">
      <c r="A19" s="3"/>
      <c r="B19" s="112" t="s">
        <v>125</v>
      </c>
      <c r="C19" s="26" t="s">
        <v>223</v>
      </c>
      <c r="D19" s="27">
        <v>23</v>
      </c>
      <c r="E19" s="28">
        <v>3</v>
      </c>
      <c r="F19" s="29">
        <v>7</v>
      </c>
      <c r="G19" s="144">
        <f t="shared" si="0"/>
        <v>42.857142857142854</v>
      </c>
      <c r="H19" s="28">
        <v>1</v>
      </c>
      <c r="I19" s="29">
        <v>3</v>
      </c>
      <c r="J19" s="144">
        <f t="shared" si="1"/>
        <v>33.333333333333329</v>
      </c>
      <c r="K19" s="30">
        <f t="shared" si="7"/>
        <v>4</v>
      </c>
      <c r="L19" s="31">
        <f t="shared" si="2"/>
        <v>10</v>
      </c>
      <c r="M19" s="144">
        <f t="shared" si="3"/>
        <v>40</v>
      </c>
      <c r="N19" s="28">
        <v>0</v>
      </c>
      <c r="O19" s="29">
        <v>0</v>
      </c>
      <c r="P19" s="147">
        <f t="shared" si="4"/>
        <v>0</v>
      </c>
      <c r="Q19" s="32">
        <f>(E19*2)+(H19*3)+(N19*1)</f>
        <v>9</v>
      </c>
      <c r="R19" s="28">
        <v>4</v>
      </c>
      <c r="S19" s="29">
        <v>0</v>
      </c>
      <c r="T19" s="29">
        <v>0</v>
      </c>
      <c r="U19" s="29">
        <v>0</v>
      </c>
      <c r="V19" s="29">
        <v>0</v>
      </c>
      <c r="W19" s="29">
        <v>1</v>
      </c>
      <c r="X19" s="29">
        <v>2</v>
      </c>
      <c r="Y19" s="33">
        <v>0</v>
      </c>
      <c r="Z19" s="102">
        <f t="shared" si="6"/>
        <v>8</v>
      </c>
      <c r="AA19" s="139" t="s">
        <v>101</v>
      </c>
      <c r="AG19" s="17"/>
      <c r="AH19"/>
      <c r="AI19"/>
      <c r="AJ19"/>
    </row>
    <row r="20" spans="1:36" ht="15" thickBot="1" x14ac:dyDescent="0.4">
      <c r="A20" s="3"/>
      <c r="B20" s="113" t="s">
        <v>126</v>
      </c>
      <c r="C20" s="34" t="s">
        <v>224</v>
      </c>
      <c r="D20" s="35">
        <v>24</v>
      </c>
      <c r="E20" s="36">
        <v>2</v>
      </c>
      <c r="F20" s="37">
        <v>2</v>
      </c>
      <c r="G20" s="145">
        <f t="shared" si="0"/>
        <v>100</v>
      </c>
      <c r="H20" s="36">
        <v>0</v>
      </c>
      <c r="I20" s="37">
        <v>1</v>
      </c>
      <c r="J20" s="145">
        <f t="shared" si="1"/>
        <v>0</v>
      </c>
      <c r="K20" s="38">
        <f>E20+H20</f>
        <v>2</v>
      </c>
      <c r="L20" s="39">
        <f t="shared" si="2"/>
        <v>3</v>
      </c>
      <c r="M20" s="145">
        <f t="shared" si="3"/>
        <v>66.666666666666657</v>
      </c>
      <c r="N20" s="36">
        <v>0</v>
      </c>
      <c r="O20" s="37">
        <v>0</v>
      </c>
      <c r="P20" s="148">
        <f t="shared" si="4"/>
        <v>0</v>
      </c>
      <c r="Q20" s="40">
        <f t="shared" si="5"/>
        <v>4</v>
      </c>
      <c r="R20" s="36">
        <v>2</v>
      </c>
      <c r="S20" s="37">
        <v>0</v>
      </c>
      <c r="T20" s="37">
        <v>0</v>
      </c>
      <c r="U20" s="37">
        <v>0</v>
      </c>
      <c r="V20" s="37">
        <v>2</v>
      </c>
      <c r="W20" s="37">
        <v>0</v>
      </c>
      <c r="X20" s="37">
        <v>1</v>
      </c>
      <c r="Y20" s="41">
        <v>0</v>
      </c>
      <c r="Z20" s="103">
        <f t="shared" si="6"/>
        <v>7</v>
      </c>
      <c r="AA20" s="139" t="s">
        <v>120</v>
      </c>
      <c r="AG20" s="17"/>
      <c r="AH20"/>
      <c r="AI20"/>
      <c r="AJ20"/>
    </row>
    <row r="21" spans="1:36" ht="14.5" x14ac:dyDescent="0.35">
      <c r="A21" s="3"/>
      <c r="B21" s="112" t="s">
        <v>127</v>
      </c>
      <c r="C21" s="42" t="s">
        <v>225</v>
      </c>
      <c r="D21" s="19">
        <v>15</v>
      </c>
      <c r="E21" s="20">
        <v>1</v>
      </c>
      <c r="F21" s="21">
        <v>1</v>
      </c>
      <c r="G21" s="143">
        <f t="shared" si="0"/>
        <v>100</v>
      </c>
      <c r="H21" s="20">
        <v>0</v>
      </c>
      <c r="I21" s="21">
        <v>0</v>
      </c>
      <c r="J21" s="143">
        <f t="shared" si="1"/>
        <v>0</v>
      </c>
      <c r="K21" s="22">
        <f>E21+H21</f>
        <v>1</v>
      </c>
      <c r="L21" s="23">
        <f t="shared" si="2"/>
        <v>1</v>
      </c>
      <c r="M21" s="143">
        <f t="shared" si="3"/>
        <v>100</v>
      </c>
      <c r="N21" s="116">
        <v>0</v>
      </c>
      <c r="O21" s="117">
        <v>0</v>
      </c>
      <c r="P21" s="149">
        <f t="shared" si="4"/>
        <v>0</v>
      </c>
      <c r="Q21" s="118">
        <f t="shared" si="5"/>
        <v>2</v>
      </c>
      <c r="R21" s="116">
        <v>0</v>
      </c>
      <c r="S21" s="117">
        <v>2</v>
      </c>
      <c r="T21" s="117">
        <v>0</v>
      </c>
      <c r="U21" s="117">
        <v>1</v>
      </c>
      <c r="V21" s="117">
        <v>2</v>
      </c>
      <c r="W21" s="117">
        <v>0</v>
      </c>
      <c r="X21" s="117">
        <v>0</v>
      </c>
      <c r="Y21" s="119">
        <v>0</v>
      </c>
      <c r="Z21" s="101">
        <f t="shared" si="6"/>
        <v>5</v>
      </c>
      <c r="AA21" s="139" t="s">
        <v>122</v>
      </c>
      <c r="AG21" s="17"/>
      <c r="AH21"/>
      <c r="AI21"/>
      <c r="AJ21"/>
    </row>
    <row r="22" spans="1:36" ht="14.5" x14ac:dyDescent="0.35">
      <c r="A22" s="3"/>
      <c r="B22" s="112" t="s">
        <v>219</v>
      </c>
      <c r="C22" s="42" t="s">
        <v>226</v>
      </c>
      <c r="D22" s="155">
        <v>15</v>
      </c>
      <c r="E22" s="116">
        <v>1</v>
      </c>
      <c r="F22" s="117">
        <v>2</v>
      </c>
      <c r="G22" s="144">
        <f t="shared" si="0"/>
        <v>50</v>
      </c>
      <c r="H22" s="116">
        <v>0</v>
      </c>
      <c r="I22" s="117">
        <v>0</v>
      </c>
      <c r="J22" s="144">
        <f t="shared" si="1"/>
        <v>0</v>
      </c>
      <c r="K22" s="30">
        <f t="shared" ref="K22:K26" si="8">E22+H22</f>
        <v>1</v>
      </c>
      <c r="L22" s="31">
        <f t="shared" si="2"/>
        <v>2</v>
      </c>
      <c r="M22" s="144">
        <f t="shared" si="3"/>
        <v>50</v>
      </c>
      <c r="N22" s="28">
        <v>0</v>
      </c>
      <c r="O22" s="29">
        <v>0</v>
      </c>
      <c r="P22" s="147">
        <f t="shared" si="4"/>
        <v>0</v>
      </c>
      <c r="Q22" s="32">
        <f t="shared" si="5"/>
        <v>2</v>
      </c>
      <c r="R22" s="116">
        <v>0</v>
      </c>
      <c r="S22" s="117">
        <v>0</v>
      </c>
      <c r="T22" s="117">
        <v>0</v>
      </c>
      <c r="U22" s="117">
        <v>0</v>
      </c>
      <c r="V22" s="117">
        <v>1</v>
      </c>
      <c r="W22" s="117">
        <v>0</v>
      </c>
      <c r="X22" s="117">
        <v>1</v>
      </c>
      <c r="Y22" s="119">
        <v>0</v>
      </c>
      <c r="Z22" s="102">
        <f t="shared" si="6"/>
        <v>2</v>
      </c>
      <c r="AA22" s="139"/>
      <c r="AG22" s="17"/>
      <c r="AH22"/>
      <c r="AI22"/>
      <c r="AJ22"/>
    </row>
    <row r="23" spans="1:36" ht="14.5" x14ac:dyDescent="0.35">
      <c r="A23" s="3"/>
      <c r="B23" s="112" t="s">
        <v>128</v>
      </c>
      <c r="C23" s="42" t="s">
        <v>227</v>
      </c>
      <c r="D23" s="155">
        <v>17</v>
      </c>
      <c r="E23" s="116">
        <v>1</v>
      </c>
      <c r="F23" s="117">
        <v>1</v>
      </c>
      <c r="G23" s="144">
        <f t="shared" si="0"/>
        <v>100</v>
      </c>
      <c r="H23" s="116">
        <v>0</v>
      </c>
      <c r="I23" s="117">
        <v>0</v>
      </c>
      <c r="J23" s="144">
        <f t="shared" si="1"/>
        <v>0</v>
      </c>
      <c r="K23" s="30">
        <f t="shared" si="8"/>
        <v>1</v>
      </c>
      <c r="L23" s="31">
        <f t="shared" si="2"/>
        <v>1</v>
      </c>
      <c r="M23" s="144">
        <f t="shared" si="3"/>
        <v>100</v>
      </c>
      <c r="N23" s="28">
        <v>0</v>
      </c>
      <c r="O23" s="29">
        <v>0</v>
      </c>
      <c r="P23" s="147">
        <f t="shared" si="4"/>
        <v>0</v>
      </c>
      <c r="Q23" s="32">
        <f t="shared" si="5"/>
        <v>2</v>
      </c>
      <c r="R23" s="116">
        <v>0</v>
      </c>
      <c r="S23" s="117">
        <v>4</v>
      </c>
      <c r="T23" s="117">
        <v>0</v>
      </c>
      <c r="U23" s="117">
        <v>0</v>
      </c>
      <c r="V23" s="117">
        <v>0</v>
      </c>
      <c r="W23" s="117">
        <v>0</v>
      </c>
      <c r="X23" s="117">
        <v>2</v>
      </c>
      <c r="Y23" s="119">
        <v>0</v>
      </c>
      <c r="Z23" s="102">
        <f t="shared" si="6"/>
        <v>6</v>
      </c>
      <c r="AA23" s="139"/>
      <c r="AG23" s="17"/>
      <c r="AH23"/>
      <c r="AI23"/>
      <c r="AJ23"/>
    </row>
    <row r="24" spans="1:36" ht="14.5" x14ac:dyDescent="0.35">
      <c r="A24" s="3"/>
      <c r="B24" s="112" t="s">
        <v>212</v>
      </c>
      <c r="C24" s="42" t="s">
        <v>228</v>
      </c>
      <c r="D24" s="155">
        <v>29</v>
      </c>
      <c r="E24" s="116">
        <v>1</v>
      </c>
      <c r="F24" s="117">
        <v>2</v>
      </c>
      <c r="G24" s="144">
        <f t="shared" si="0"/>
        <v>50</v>
      </c>
      <c r="H24" s="116">
        <v>0</v>
      </c>
      <c r="I24" s="117">
        <v>1</v>
      </c>
      <c r="J24" s="144">
        <f t="shared" si="1"/>
        <v>0</v>
      </c>
      <c r="K24" s="30">
        <f t="shared" si="8"/>
        <v>1</v>
      </c>
      <c r="L24" s="31">
        <f t="shared" si="2"/>
        <v>3</v>
      </c>
      <c r="M24" s="144">
        <f t="shared" si="3"/>
        <v>33.333333333333329</v>
      </c>
      <c r="N24" s="28">
        <v>0</v>
      </c>
      <c r="O24" s="29">
        <v>0</v>
      </c>
      <c r="P24" s="147">
        <f t="shared" si="4"/>
        <v>0</v>
      </c>
      <c r="Q24" s="32">
        <f t="shared" si="5"/>
        <v>2</v>
      </c>
      <c r="R24" s="116">
        <v>1</v>
      </c>
      <c r="S24" s="117">
        <v>0</v>
      </c>
      <c r="T24" s="117">
        <v>0</v>
      </c>
      <c r="U24" s="117">
        <v>0</v>
      </c>
      <c r="V24" s="117">
        <v>0</v>
      </c>
      <c r="W24" s="117">
        <v>0</v>
      </c>
      <c r="X24" s="117">
        <v>2</v>
      </c>
      <c r="Y24" s="119">
        <v>0</v>
      </c>
      <c r="Z24" s="102">
        <f t="shared" si="6"/>
        <v>1</v>
      </c>
      <c r="AA24" s="139"/>
      <c r="AG24" s="17"/>
      <c r="AH24"/>
      <c r="AI24"/>
      <c r="AJ24"/>
    </row>
    <row r="25" spans="1:36" ht="14.5" x14ac:dyDescent="0.35">
      <c r="A25" s="3"/>
      <c r="B25" s="112"/>
      <c r="C25" s="42"/>
      <c r="D25" s="155"/>
      <c r="E25" s="116"/>
      <c r="F25" s="117"/>
      <c r="G25" s="144">
        <f t="shared" si="0"/>
        <v>0</v>
      </c>
      <c r="H25" s="116"/>
      <c r="I25" s="117"/>
      <c r="J25" s="144">
        <f t="shared" si="1"/>
        <v>0</v>
      </c>
      <c r="K25" s="30">
        <f t="shared" si="8"/>
        <v>0</v>
      </c>
      <c r="L25" s="31">
        <f t="shared" si="2"/>
        <v>0</v>
      </c>
      <c r="M25" s="144">
        <f t="shared" si="3"/>
        <v>0</v>
      </c>
      <c r="N25" s="28"/>
      <c r="O25" s="29"/>
      <c r="P25" s="147">
        <f t="shared" si="4"/>
        <v>0</v>
      </c>
      <c r="Q25" s="32">
        <f t="shared" si="5"/>
        <v>0</v>
      </c>
      <c r="R25" s="116"/>
      <c r="S25" s="117"/>
      <c r="T25" s="117"/>
      <c r="U25" s="117"/>
      <c r="V25" s="117"/>
      <c r="W25" s="117"/>
      <c r="X25" s="117"/>
      <c r="Y25" s="119"/>
      <c r="Z25" s="102">
        <f t="shared" si="6"/>
        <v>0</v>
      </c>
      <c r="AA25" s="139"/>
      <c r="AG25" s="17"/>
      <c r="AH25"/>
      <c r="AI25"/>
      <c r="AJ25"/>
    </row>
    <row r="26" spans="1:36" ht="14.5" x14ac:dyDescent="0.35">
      <c r="A26" s="3"/>
      <c r="B26" s="112"/>
      <c r="C26" s="42"/>
      <c r="D26" s="155"/>
      <c r="E26" s="116"/>
      <c r="F26" s="117"/>
      <c r="G26" s="144">
        <f t="shared" si="0"/>
        <v>0</v>
      </c>
      <c r="H26" s="116"/>
      <c r="I26" s="117"/>
      <c r="J26" s="144">
        <f t="shared" si="1"/>
        <v>0</v>
      </c>
      <c r="K26" s="30">
        <f t="shared" si="8"/>
        <v>0</v>
      </c>
      <c r="L26" s="31">
        <f t="shared" si="2"/>
        <v>0</v>
      </c>
      <c r="M26" s="144">
        <f t="shared" si="3"/>
        <v>0</v>
      </c>
      <c r="N26" s="28"/>
      <c r="O26" s="29"/>
      <c r="P26" s="147">
        <f t="shared" si="4"/>
        <v>0</v>
      </c>
      <c r="Q26" s="32">
        <f t="shared" si="5"/>
        <v>0</v>
      </c>
      <c r="R26" s="116"/>
      <c r="S26" s="117"/>
      <c r="T26" s="117"/>
      <c r="U26" s="117"/>
      <c r="V26" s="117"/>
      <c r="W26" s="117"/>
      <c r="X26" s="117"/>
      <c r="Y26" s="119"/>
      <c r="Z26" s="102">
        <f t="shared" si="6"/>
        <v>0</v>
      </c>
      <c r="AA26" s="139"/>
      <c r="AG26" s="17"/>
      <c r="AH26"/>
      <c r="AI26"/>
      <c r="AJ26"/>
    </row>
    <row r="27" spans="1:36" ht="14.5" x14ac:dyDescent="0.35">
      <c r="A27" s="3"/>
      <c r="B27" s="112"/>
      <c r="C27" s="26"/>
      <c r="D27" s="27"/>
      <c r="E27" s="28"/>
      <c r="F27" s="29"/>
      <c r="G27" s="144">
        <f t="shared" si="0"/>
        <v>0</v>
      </c>
      <c r="H27" s="28"/>
      <c r="I27" s="29"/>
      <c r="J27" s="144">
        <f t="shared" si="1"/>
        <v>0</v>
      </c>
      <c r="K27" s="30">
        <f>E27+H27</f>
        <v>0</v>
      </c>
      <c r="L27" s="31">
        <f t="shared" si="2"/>
        <v>0</v>
      </c>
      <c r="M27" s="144">
        <f t="shared" si="3"/>
        <v>0</v>
      </c>
      <c r="N27" s="28"/>
      <c r="O27" s="29"/>
      <c r="P27" s="147">
        <f t="shared" si="4"/>
        <v>0</v>
      </c>
      <c r="Q27" s="32">
        <f t="shared" si="5"/>
        <v>0</v>
      </c>
      <c r="R27" s="28"/>
      <c r="S27" s="29"/>
      <c r="T27" s="29"/>
      <c r="U27" s="29"/>
      <c r="V27" s="29"/>
      <c r="W27" s="29"/>
      <c r="X27" s="29"/>
      <c r="Y27" s="33"/>
      <c r="Z27" s="102">
        <f>(Q27+R27+S27+T27+V27+W27)-((L27-K27)+(O27-N27)+U27)</f>
        <v>0</v>
      </c>
      <c r="AA27" s="139" t="s">
        <v>102</v>
      </c>
      <c r="AH27"/>
      <c r="AI27"/>
      <c r="AJ27"/>
    </row>
    <row r="28" spans="1:36" ht="14.5" x14ac:dyDescent="0.35">
      <c r="A28" s="3"/>
      <c r="B28" s="112"/>
      <c r="C28" s="26"/>
      <c r="D28" s="27"/>
      <c r="E28" s="28"/>
      <c r="F28" s="29"/>
      <c r="G28" s="144">
        <f t="shared" si="0"/>
        <v>0</v>
      </c>
      <c r="H28" s="28"/>
      <c r="I28" s="29"/>
      <c r="J28" s="144">
        <f t="shared" si="1"/>
        <v>0</v>
      </c>
      <c r="K28" s="30">
        <f t="shared" ref="K28:K34" si="9">E28+H28</f>
        <v>0</v>
      </c>
      <c r="L28" s="31">
        <f t="shared" si="2"/>
        <v>0</v>
      </c>
      <c r="M28" s="144">
        <f t="shared" si="3"/>
        <v>0</v>
      </c>
      <c r="N28" s="28"/>
      <c r="O28" s="29"/>
      <c r="P28" s="147">
        <f t="shared" si="4"/>
        <v>0</v>
      </c>
      <c r="Q28" s="32">
        <f t="shared" si="5"/>
        <v>0</v>
      </c>
      <c r="R28" s="28"/>
      <c r="S28" s="29"/>
      <c r="T28" s="29"/>
      <c r="U28" s="29"/>
      <c r="V28" s="29"/>
      <c r="W28" s="29"/>
      <c r="X28" s="29"/>
      <c r="Y28" s="33"/>
      <c r="Z28" s="102">
        <f>(Q28+R28+S28+T28+V28+W28)-((L28-K28)+(O28-N28)+U28)</f>
        <v>0</v>
      </c>
      <c r="AA28" s="139" t="s">
        <v>103</v>
      </c>
      <c r="AH28"/>
      <c r="AI28"/>
      <c r="AJ28"/>
    </row>
    <row r="29" spans="1:36" ht="14.5" x14ac:dyDescent="0.35">
      <c r="A29" s="3"/>
      <c r="B29" s="112"/>
      <c r="C29" s="26"/>
      <c r="D29" s="27"/>
      <c r="E29" s="28"/>
      <c r="F29" s="29"/>
      <c r="G29" s="144">
        <f t="shared" si="0"/>
        <v>0</v>
      </c>
      <c r="H29" s="28"/>
      <c r="I29" s="29"/>
      <c r="J29" s="144">
        <f t="shared" si="1"/>
        <v>0</v>
      </c>
      <c r="K29" s="30">
        <f t="shared" si="9"/>
        <v>0</v>
      </c>
      <c r="L29" s="31">
        <f t="shared" si="2"/>
        <v>0</v>
      </c>
      <c r="M29" s="144">
        <f t="shared" si="3"/>
        <v>0</v>
      </c>
      <c r="N29" s="28"/>
      <c r="O29" s="29"/>
      <c r="P29" s="147">
        <f t="shared" si="4"/>
        <v>0</v>
      </c>
      <c r="Q29" s="32">
        <f t="shared" si="5"/>
        <v>0</v>
      </c>
      <c r="R29" s="28"/>
      <c r="S29" s="29"/>
      <c r="T29" s="29"/>
      <c r="U29" s="29"/>
      <c r="V29" s="29"/>
      <c r="W29" s="29"/>
      <c r="X29" s="29"/>
      <c r="Y29" s="33"/>
      <c r="Z29" s="102">
        <f>(Q29+R29+S29+T29+V29+W29)-((L29-K29)+(O29-N29)+U29)</f>
        <v>0</v>
      </c>
      <c r="AA29" s="139" t="s">
        <v>104</v>
      </c>
      <c r="AH29"/>
      <c r="AI29"/>
      <c r="AJ29"/>
    </row>
    <row r="30" spans="1:36" ht="14.5" x14ac:dyDescent="0.35">
      <c r="A30" s="3"/>
      <c r="B30" s="112"/>
      <c r="C30" s="26"/>
      <c r="D30" s="27"/>
      <c r="E30" s="28"/>
      <c r="F30" s="29"/>
      <c r="G30" s="144">
        <f t="shared" si="0"/>
        <v>0</v>
      </c>
      <c r="H30" s="28"/>
      <c r="I30" s="29"/>
      <c r="J30" s="144">
        <f t="shared" si="1"/>
        <v>0</v>
      </c>
      <c r="K30" s="30">
        <f t="shared" si="9"/>
        <v>0</v>
      </c>
      <c r="L30" s="31">
        <f t="shared" si="2"/>
        <v>0</v>
      </c>
      <c r="M30" s="144">
        <f t="shared" si="3"/>
        <v>0</v>
      </c>
      <c r="N30" s="28"/>
      <c r="O30" s="29"/>
      <c r="P30" s="147">
        <f t="shared" si="4"/>
        <v>0</v>
      </c>
      <c r="Q30" s="32">
        <f t="shared" si="5"/>
        <v>0</v>
      </c>
      <c r="R30" s="28"/>
      <c r="S30" s="29"/>
      <c r="T30" s="29"/>
      <c r="U30" s="29"/>
      <c r="V30" s="29"/>
      <c r="W30" s="29"/>
      <c r="X30" s="29"/>
      <c r="Y30" s="33"/>
      <c r="Z30" s="102">
        <f t="shared" si="6"/>
        <v>0</v>
      </c>
      <c r="AA30" s="139" t="s">
        <v>105</v>
      </c>
      <c r="AH30"/>
      <c r="AI30"/>
      <c r="AJ30"/>
    </row>
    <row r="31" spans="1:36" ht="14.5" x14ac:dyDescent="0.35">
      <c r="A31" s="3"/>
      <c r="B31" s="112"/>
      <c r="C31" s="26"/>
      <c r="D31" s="27"/>
      <c r="E31" s="28"/>
      <c r="F31" s="29"/>
      <c r="G31" s="144">
        <f t="shared" si="0"/>
        <v>0</v>
      </c>
      <c r="H31" s="28"/>
      <c r="I31" s="29"/>
      <c r="J31" s="144">
        <f t="shared" si="1"/>
        <v>0</v>
      </c>
      <c r="K31" s="30">
        <f t="shared" si="9"/>
        <v>0</v>
      </c>
      <c r="L31" s="31">
        <f t="shared" si="2"/>
        <v>0</v>
      </c>
      <c r="M31" s="144">
        <f t="shared" si="3"/>
        <v>0</v>
      </c>
      <c r="N31" s="28"/>
      <c r="O31" s="29"/>
      <c r="P31" s="147">
        <f t="shared" si="4"/>
        <v>0</v>
      </c>
      <c r="Q31" s="32">
        <f t="shared" si="5"/>
        <v>0</v>
      </c>
      <c r="R31" s="28"/>
      <c r="S31" s="29"/>
      <c r="T31" s="29"/>
      <c r="U31" s="29"/>
      <c r="V31" s="29"/>
      <c r="W31" s="29"/>
      <c r="X31" s="29"/>
      <c r="Y31" s="33"/>
      <c r="Z31" s="102">
        <f t="shared" si="6"/>
        <v>0</v>
      </c>
      <c r="AA31" s="139" t="s">
        <v>106</v>
      </c>
      <c r="AH31"/>
      <c r="AI31"/>
      <c r="AJ31"/>
    </row>
    <row r="32" spans="1:36" ht="14.5" x14ac:dyDescent="0.35">
      <c r="A32" s="3"/>
      <c r="B32" s="112"/>
      <c r="C32" s="26"/>
      <c r="D32" s="27"/>
      <c r="E32" s="28"/>
      <c r="F32" s="29"/>
      <c r="G32" s="144">
        <f t="shared" si="0"/>
        <v>0</v>
      </c>
      <c r="H32" s="28"/>
      <c r="I32" s="29"/>
      <c r="J32" s="144">
        <f t="shared" si="1"/>
        <v>0</v>
      </c>
      <c r="K32" s="30">
        <f t="shared" si="9"/>
        <v>0</v>
      </c>
      <c r="L32" s="31">
        <f t="shared" si="2"/>
        <v>0</v>
      </c>
      <c r="M32" s="144">
        <f t="shared" si="3"/>
        <v>0</v>
      </c>
      <c r="N32" s="28"/>
      <c r="O32" s="29"/>
      <c r="P32" s="147">
        <f t="shared" si="4"/>
        <v>0</v>
      </c>
      <c r="Q32" s="32">
        <f t="shared" si="5"/>
        <v>0</v>
      </c>
      <c r="R32" s="28"/>
      <c r="S32" s="29"/>
      <c r="T32" s="29"/>
      <c r="U32" s="29"/>
      <c r="V32" s="29"/>
      <c r="W32" s="29"/>
      <c r="X32" s="29"/>
      <c r="Y32" s="33"/>
      <c r="Z32" s="102">
        <f t="shared" si="6"/>
        <v>0</v>
      </c>
      <c r="AA32" s="139" t="s">
        <v>121</v>
      </c>
      <c r="AH32"/>
      <c r="AI32"/>
      <c r="AJ32"/>
    </row>
    <row r="33" spans="1:36" ht="14.5" x14ac:dyDescent="0.35">
      <c r="A33" s="3"/>
      <c r="B33" s="112"/>
      <c r="C33" s="26"/>
      <c r="D33" s="27"/>
      <c r="E33" s="28"/>
      <c r="F33" s="29"/>
      <c r="G33" s="144">
        <f t="shared" si="0"/>
        <v>0</v>
      </c>
      <c r="H33" s="28"/>
      <c r="I33" s="29"/>
      <c r="J33" s="144">
        <f t="shared" si="1"/>
        <v>0</v>
      </c>
      <c r="K33" s="30">
        <f t="shared" si="9"/>
        <v>0</v>
      </c>
      <c r="L33" s="31">
        <f t="shared" si="2"/>
        <v>0</v>
      </c>
      <c r="M33" s="144">
        <f t="shared" si="3"/>
        <v>0</v>
      </c>
      <c r="N33" s="28"/>
      <c r="O33" s="29"/>
      <c r="P33" s="147">
        <f t="shared" si="4"/>
        <v>0</v>
      </c>
      <c r="Q33" s="32">
        <f t="shared" si="5"/>
        <v>0</v>
      </c>
      <c r="R33" s="28"/>
      <c r="S33" s="29"/>
      <c r="T33" s="29"/>
      <c r="U33" s="29"/>
      <c r="V33" s="29"/>
      <c r="W33" s="29"/>
      <c r="X33" s="29"/>
      <c r="Y33" s="33"/>
      <c r="Z33" s="102">
        <f t="shared" si="6"/>
        <v>0</v>
      </c>
      <c r="AA33" s="139" t="s">
        <v>107</v>
      </c>
      <c r="AH33"/>
      <c r="AI33"/>
      <c r="AJ33"/>
    </row>
    <row r="34" spans="1:36" ht="14.5" x14ac:dyDescent="0.35">
      <c r="A34" s="3"/>
      <c r="B34" s="112"/>
      <c r="C34" s="26"/>
      <c r="D34" s="27"/>
      <c r="E34" s="28"/>
      <c r="F34" s="29"/>
      <c r="G34" s="144">
        <f t="shared" si="0"/>
        <v>0</v>
      </c>
      <c r="H34" s="28"/>
      <c r="I34" s="29"/>
      <c r="J34" s="144">
        <f t="shared" si="1"/>
        <v>0</v>
      </c>
      <c r="K34" s="30">
        <f t="shared" si="9"/>
        <v>0</v>
      </c>
      <c r="L34" s="31">
        <f t="shared" si="2"/>
        <v>0</v>
      </c>
      <c r="M34" s="144">
        <f t="shared" si="3"/>
        <v>0</v>
      </c>
      <c r="N34" s="28"/>
      <c r="O34" s="29"/>
      <c r="P34" s="147">
        <f t="shared" si="4"/>
        <v>0</v>
      </c>
      <c r="Q34" s="32">
        <f t="shared" si="5"/>
        <v>0</v>
      </c>
      <c r="R34" s="28"/>
      <c r="S34" s="29"/>
      <c r="T34" s="29"/>
      <c r="U34" s="29"/>
      <c r="V34" s="29"/>
      <c r="W34" s="29"/>
      <c r="X34" s="29"/>
      <c r="Y34" s="33"/>
      <c r="Z34" s="102">
        <f t="shared" si="6"/>
        <v>0</v>
      </c>
      <c r="AA34" s="139" t="s">
        <v>108</v>
      </c>
      <c r="AH34"/>
      <c r="AI34"/>
      <c r="AJ34"/>
    </row>
    <row r="35" spans="1:36" ht="15" thickBot="1" x14ac:dyDescent="0.4">
      <c r="A35" s="3"/>
      <c r="B35" s="113"/>
      <c r="C35" s="34"/>
      <c r="D35" s="35"/>
      <c r="E35" s="36"/>
      <c r="F35" s="37"/>
      <c r="G35" s="145">
        <f t="shared" si="0"/>
        <v>0</v>
      </c>
      <c r="H35" s="36"/>
      <c r="I35" s="37"/>
      <c r="J35" s="145">
        <f t="shared" si="1"/>
        <v>0</v>
      </c>
      <c r="K35" s="38">
        <f>E35+H35</f>
        <v>0</v>
      </c>
      <c r="L35" s="39">
        <f t="shared" si="2"/>
        <v>0</v>
      </c>
      <c r="M35" s="145">
        <f t="shared" si="3"/>
        <v>0</v>
      </c>
      <c r="N35" s="28"/>
      <c r="O35" s="37"/>
      <c r="P35" s="148">
        <f t="shared" si="4"/>
        <v>0</v>
      </c>
      <c r="Q35" s="40">
        <f t="shared" si="5"/>
        <v>0</v>
      </c>
      <c r="R35" s="36"/>
      <c r="S35" s="37"/>
      <c r="T35" s="37"/>
      <c r="U35" s="37"/>
      <c r="V35" s="37"/>
      <c r="W35" s="37"/>
      <c r="X35" s="37"/>
      <c r="Y35" s="41"/>
      <c r="Z35" s="103">
        <f t="shared" si="6"/>
        <v>0</v>
      </c>
      <c r="AA35" s="139" t="s">
        <v>109</v>
      </c>
      <c r="AH35"/>
      <c r="AI35"/>
      <c r="AJ35"/>
    </row>
    <row r="36" spans="1:36" ht="15" thickBot="1" x14ac:dyDescent="0.4">
      <c r="A36" s="3"/>
      <c r="B36" s="168" t="s">
        <v>36</v>
      </c>
      <c r="C36" s="169"/>
      <c r="D36" s="153"/>
      <c r="E36" s="172"/>
      <c r="F36" s="173"/>
      <c r="G36" s="174"/>
      <c r="H36" s="172"/>
      <c r="I36" s="173"/>
      <c r="J36" s="174"/>
      <c r="K36" s="172"/>
      <c r="L36" s="173"/>
      <c r="M36" s="174"/>
      <c r="N36" s="172"/>
      <c r="O36" s="173"/>
      <c r="P36" s="174"/>
      <c r="Q36" s="154"/>
      <c r="R36" s="105"/>
      <c r="S36" s="105"/>
      <c r="T36" s="151"/>
      <c r="U36" s="105"/>
      <c r="V36" s="105"/>
      <c r="W36" s="151"/>
      <c r="X36" s="152"/>
      <c r="Y36" s="106"/>
      <c r="Z36" s="107"/>
      <c r="AA36" s="139" t="s">
        <v>110</v>
      </c>
      <c r="AH36"/>
      <c r="AI36"/>
      <c r="AJ36"/>
    </row>
    <row r="37" spans="1:36" ht="15" thickBot="1" x14ac:dyDescent="0.4">
      <c r="A37" s="3"/>
      <c r="B37" s="170" t="s">
        <v>37</v>
      </c>
      <c r="C37" s="171"/>
      <c r="D37" s="43">
        <f>SUM(D16:D35)</f>
        <v>200</v>
      </c>
      <c r="E37" s="1">
        <f>SUM(E16:E35)</f>
        <v>15</v>
      </c>
      <c r="F37" s="2">
        <f>SUM(F16:F35)</f>
        <v>27</v>
      </c>
      <c r="G37" s="150">
        <f>IFERROR((E37/F37*100),0)</f>
        <v>55.555555555555557</v>
      </c>
      <c r="H37" s="1">
        <f>SUM(H16:H35)</f>
        <v>7</v>
      </c>
      <c r="I37" s="2">
        <f>SUM(I16:I35)</f>
        <v>11</v>
      </c>
      <c r="J37" s="150">
        <f t="shared" si="1"/>
        <v>63.636363636363633</v>
      </c>
      <c r="K37" s="1">
        <f t="shared" ref="K37" si="10">SUM(K16:K35)</f>
        <v>22</v>
      </c>
      <c r="L37" s="2">
        <f>SUM(L16:L35)</f>
        <v>38</v>
      </c>
      <c r="M37" s="150">
        <f t="shared" ref="M37" si="11">IFERROR((K37/L37*100),0)</f>
        <v>57.894736842105267</v>
      </c>
      <c r="N37" s="1">
        <f t="shared" ref="N37:O37" si="12">SUM(N16:N35)</f>
        <v>4</v>
      </c>
      <c r="O37" s="2">
        <f t="shared" si="12"/>
        <v>4</v>
      </c>
      <c r="P37" s="150">
        <f>IFERROR((N37/O37*100),0)</f>
        <v>100</v>
      </c>
      <c r="Q37" s="44">
        <f>SUM(Q16:Q35)</f>
        <v>55</v>
      </c>
      <c r="R37" s="44">
        <f>SUM(R16:R36)</f>
        <v>11</v>
      </c>
      <c r="S37" s="45">
        <f>SUM(S16:S36)</f>
        <v>9</v>
      </c>
      <c r="T37" s="45">
        <f>SUM(T16:T35)</f>
        <v>2</v>
      </c>
      <c r="U37" s="45">
        <f t="shared" ref="U37:V37" si="13">SUM(U16:U36)</f>
        <v>3</v>
      </c>
      <c r="V37" s="45">
        <f t="shared" si="13"/>
        <v>6</v>
      </c>
      <c r="W37" s="45">
        <f>SUM(W16:W35)</f>
        <v>1</v>
      </c>
      <c r="X37" s="45">
        <f>SUM(X16:X36)</f>
        <v>16</v>
      </c>
      <c r="Y37" s="46">
        <f>SUM(Y16:Y36)</f>
        <v>2</v>
      </c>
      <c r="Z37" s="47">
        <f>SUM(Z16:Z35)</f>
        <v>65</v>
      </c>
      <c r="AA37" s="139" t="s">
        <v>111</v>
      </c>
      <c r="AH37"/>
      <c r="AI37"/>
      <c r="AJ37"/>
    </row>
    <row r="38" spans="1:36" ht="9" customHeight="1" x14ac:dyDescent="0.35">
      <c r="A38" s="3"/>
      <c r="B38" s="48"/>
      <c r="C38" s="48"/>
      <c r="D38" s="48"/>
      <c r="E38" s="48"/>
      <c r="F38" s="48"/>
      <c r="G38" s="48"/>
      <c r="H38" s="48"/>
      <c r="I38" s="48"/>
      <c r="J38" s="48"/>
      <c r="K38" s="49"/>
      <c r="L38" s="49"/>
      <c r="M38" s="49"/>
      <c r="N38" s="49"/>
      <c r="O38" s="49"/>
      <c r="P38" s="49"/>
      <c r="Q38" s="49"/>
      <c r="R38" s="49"/>
      <c r="S38" s="49"/>
      <c r="T38" s="49"/>
      <c r="U38" s="49"/>
      <c r="V38" s="49"/>
      <c r="W38" s="49"/>
      <c r="X38" s="49"/>
      <c r="Y38" s="48"/>
      <c r="Z38" s="48"/>
      <c r="AA38" s="139" t="s">
        <v>112</v>
      </c>
      <c r="AH38"/>
      <c r="AI38"/>
      <c r="AJ38"/>
    </row>
    <row r="39" spans="1:36" ht="10.5" customHeight="1" x14ac:dyDescent="0.35">
      <c r="A39" s="3"/>
      <c r="B39" s="225" t="s">
        <v>51</v>
      </c>
      <c r="C39" s="225"/>
      <c r="D39" s="225"/>
      <c r="E39" s="225"/>
      <c r="F39" s="225"/>
      <c r="G39" s="225"/>
      <c r="H39" s="48"/>
      <c r="I39" s="225" t="s">
        <v>43</v>
      </c>
      <c r="J39" s="225"/>
      <c r="K39" s="225"/>
      <c r="L39" s="225"/>
      <c r="M39" s="225"/>
      <c r="N39" s="48"/>
      <c r="O39" s="225" t="s">
        <v>46</v>
      </c>
      <c r="P39" s="225"/>
      <c r="Q39" s="225"/>
      <c r="R39" s="225"/>
      <c r="S39" s="225"/>
      <c r="T39" s="225"/>
      <c r="U39" s="225" t="s">
        <v>49</v>
      </c>
      <c r="V39" s="225"/>
      <c r="W39" s="225"/>
      <c r="X39" s="225"/>
      <c r="Y39" s="225"/>
      <c r="Z39" s="225"/>
      <c r="AA39" s="139" t="s">
        <v>113</v>
      </c>
      <c r="AH39"/>
      <c r="AI39"/>
      <c r="AJ39"/>
    </row>
    <row r="40" spans="1:36" ht="10.5" customHeight="1" x14ac:dyDescent="0.35">
      <c r="A40" s="3"/>
      <c r="B40" s="225" t="s">
        <v>213</v>
      </c>
      <c r="C40" s="225"/>
      <c r="D40" s="225" t="s">
        <v>38</v>
      </c>
      <c r="E40" s="225"/>
      <c r="F40" s="225"/>
      <c r="G40" s="225"/>
      <c r="H40" s="48"/>
      <c r="I40" s="225" t="s">
        <v>44</v>
      </c>
      <c r="J40" s="225"/>
      <c r="K40" s="225"/>
      <c r="L40" s="225"/>
      <c r="M40" s="225"/>
      <c r="N40" s="48"/>
      <c r="O40" s="225" t="s">
        <v>47</v>
      </c>
      <c r="P40" s="225"/>
      <c r="Q40" s="225"/>
      <c r="R40" s="225"/>
      <c r="S40" s="225"/>
      <c r="T40" s="225"/>
      <c r="U40" s="225" t="s">
        <v>50</v>
      </c>
      <c r="V40" s="225"/>
      <c r="W40" s="225"/>
      <c r="X40" s="225"/>
      <c r="Y40" s="225"/>
      <c r="Z40" s="225"/>
      <c r="AA40" s="139" t="s">
        <v>114</v>
      </c>
      <c r="AH40"/>
      <c r="AI40"/>
      <c r="AJ40"/>
    </row>
    <row r="41" spans="1:36" ht="10.5" customHeight="1" x14ac:dyDescent="0.35">
      <c r="A41" s="3"/>
      <c r="B41" s="225" t="s">
        <v>214</v>
      </c>
      <c r="C41" s="225"/>
      <c r="D41" s="225" t="s">
        <v>39</v>
      </c>
      <c r="E41" s="225"/>
      <c r="F41" s="225"/>
      <c r="G41" s="225"/>
      <c r="H41" s="48"/>
      <c r="I41" s="225" t="s">
        <v>45</v>
      </c>
      <c r="J41" s="225"/>
      <c r="K41" s="225"/>
      <c r="L41" s="225"/>
      <c r="M41" s="225"/>
      <c r="N41" s="48"/>
      <c r="O41" s="225" t="s">
        <v>48</v>
      </c>
      <c r="P41" s="225"/>
      <c r="Q41" s="225"/>
      <c r="R41" s="225"/>
      <c r="S41" s="225"/>
      <c r="T41" s="225"/>
      <c r="U41" s="225"/>
      <c r="V41" s="225"/>
      <c r="W41" s="225"/>
      <c r="X41" s="225"/>
      <c r="Y41" s="225"/>
      <c r="Z41" s="225"/>
      <c r="AA41" s="139" t="s">
        <v>115</v>
      </c>
      <c r="AH41"/>
      <c r="AI41"/>
      <c r="AJ41"/>
    </row>
    <row r="42" spans="1:36" ht="10.5" customHeight="1" x14ac:dyDescent="0.35">
      <c r="A42" s="3"/>
      <c r="B42" s="225" t="s">
        <v>41</v>
      </c>
      <c r="C42" s="225"/>
      <c r="D42" s="225" t="s">
        <v>40</v>
      </c>
      <c r="E42" s="225"/>
      <c r="F42" s="225"/>
      <c r="G42" s="225"/>
      <c r="H42" s="48"/>
      <c r="I42" s="225" t="s">
        <v>42</v>
      </c>
      <c r="J42" s="225"/>
      <c r="K42" s="225"/>
      <c r="L42" s="225"/>
      <c r="M42" s="225"/>
      <c r="N42" s="48"/>
      <c r="O42" s="225" t="s">
        <v>215</v>
      </c>
      <c r="P42" s="225"/>
      <c r="Q42" s="225"/>
      <c r="R42" s="225"/>
      <c r="S42" s="225"/>
      <c r="T42" s="225"/>
      <c r="U42" s="227" t="s">
        <v>216</v>
      </c>
      <c r="V42" s="227"/>
      <c r="W42" s="227"/>
      <c r="X42" s="227"/>
      <c r="Y42" s="227"/>
      <c r="Z42" s="227"/>
      <c r="AA42" s="139" t="s">
        <v>116</v>
      </c>
      <c r="AB42" s="50"/>
      <c r="AH42"/>
      <c r="AI42"/>
      <c r="AJ42"/>
    </row>
    <row r="43" spans="1:36" ht="10.5" customHeight="1" x14ac:dyDescent="0.35">
      <c r="A43" s="3"/>
      <c r="B43" s="225"/>
      <c r="C43" s="225"/>
      <c r="D43" s="48"/>
      <c r="E43" s="48"/>
      <c r="F43" s="48"/>
      <c r="G43" s="48"/>
      <c r="H43" s="48"/>
      <c r="I43" s="48"/>
      <c r="J43" s="48"/>
      <c r="K43" s="48"/>
      <c r="L43" s="48"/>
      <c r="M43" s="48"/>
      <c r="N43" s="48"/>
      <c r="O43" s="48"/>
      <c r="P43" s="48"/>
      <c r="Q43" s="48"/>
      <c r="R43" s="48"/>
      <c r="S43" s="48"/>
      <c r="T43" s="48"/>
      <c r="U43" s="227"/>
      <c r="V43" s="227"/>
      <c r="W43" s="227"/>
      <c r="X43" s="227"/>
      <c r="Y43" s="227"/>
      <c r="Z43" s="227"/>
      <c r="AA43" s="51"/>
      <c r="AB43" s="50"/>
      <c r="AH43"/>
      <c r="AI43"/>
      <c r="AJ43"/>
    </row>
    <row r="44" spans="1:36" ht="9" customHeight="1" x14ac:dyDescent="0.35">
      <c r="A44" s="3"/>
      <c r="B44" s="226"/>
      <c r="C44" s="226"/>
      <c r="D44" s="226"/>
      <c r="E44" s="226"/>
      <c r="F44" s="226"/>
      <c r="G44" s="226"/>
      <c r="H44" s="226"/>
      <c r="I44" s="226"/>
      <c r="J44" s="226"/>
      <c r="K44" s="226"/>
      <c r="L44" s="226"/>
      <c r="M44" s="226"/>
      <c r="N44" s="226"/>
      <c r="O44" s="226"/>
      <c r="P44" s="226"/>
      <c r="Q44" s="226"/>
      <c r="R44" s="226"/>
      <c r="S44" s="226"/>
      <c r="T44" s="52"/>
      <c r="U44" s="53"/>
      <c r="V44" s="53"/>
      <c r="W44" s="53"/>
      <c r="X44" s="53"/>
      <c r="Y44" s="53"/>
      <c r="Z44" s="53"/>
      <c r="AA44" s="54"/>
      <c r="AB44" s="50"/>
      <c r="AH44"/>
      <c r="AI44"/>
      <c r="AJ44"/>
    </row>
    <row r="45" spans="1:36" ht="28.5" x14ac:dyDescent="0.35">
      <c r="A45" s="3"/>
      <c r="B45" s="188" t="s">
        <v>52</v>
      </c>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H45"/>
      <c r="AI45"/>
      <c r="AJ45"/>
    </row>
    <row r="46" spans="1:36" ht="15" thickBo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c r="AA46" s="3"/>
      <c r="AH46"/>
      <c r="AI46"/>
      <c r="AJ46"/>
    </row>
    <row r="47" spans="1:36" ht="15" thickBot="1" x14ac:dyDescent="0.4">
      <c r="A47" s="3"/>
      <c r="B47" s="3"/>
      <c r="C47" s="3"/>
      <c r="D47" s="228" t="s">
        <v>23</v>
      </c>
      <c r="E47" s="229"/>
      <c r="F47" s="229"/>
      <c r="G47" s="229"/>
      <c r="H47" s="229"/>
      <c r="I47" s="229"/>
      <c r="J47" s="229"/>
      <c r="K47" s="229"/>
      <c r="L47" s="230"/>
      <c r="M47" s="3" t="s">
        <v>22</v>
      </c>
      <c r="N47" s="228" t="s">
        <v>24</v>
      </c>
      <c r="O47" s="229"/>
      <c r="P47" s="229"/>
      <c r="Q47" s="229"/>
      <c r="R47" s="229"/>
      <c r="S47" s="229"/>
      <c r="T47" s="229"/>
      <c r="U47" s="230"/>
      <c r="V47" s="6"/>
      <c r="W47" s="3"/>
      <c r="X47" s="3"/>
      <c r="Y47" s="3"/>
      <c r="Z47" s="3"/>
      <c r="AA47" s="3"/>
      <c r="AH47"/>
      <c r="AI47"/>
      <c r="AJ47"/>
    </row>
    <row r="48" spans="1:36" ht="15" thickBot="1" x14ac:dyDescent="0.4">
      <c r="A48" s="3"/>
      <c r="B48" s="3"/>
      <c r="C48" s="3"/>
      <c r="D48" s="231" t="str">
        <f>D4</f>
        <v>ŠBK Junior Levice</v>
      </c>
      <c r="E48" s="232"/>
      <c r="F48" s="232"/>
      <c r="G48" s="232"/>
      <c r="H48" s="232"/>
      <c r="I48" s="232"/>
      <c r="J48" s="232"/>
      <c r="K48" s="232"/>
      <c r="L48" s="233"/>
      <c r="M48" s="3" t="s">
        <v>22</v>
      </c>
      <c r="N48" s="231" t="str">
        <f>N4</f>
        <v>MBA Prievidza</v>
      </c>
      <c r="O48" s="232"/>
      <c r="P48" s="232"/>
      <c r="Q48" s="232"/>
      <c r="R48" s="232"/>
      <c r="S48" s="232"/>
      <c r="T48" s="232"/>
      <c r="U48" s="233"/>
      <c r="V48" s="6"/>
      <c r="W48" s="3"/>
      <c r="X48" s="3"/>
      <c r="Y48" s="3"/>
      <c r="Z48" s="3"/>
      <c r="AA48" s="3"/>
      <c r="AH48"/>
      <c r="AI48"/>
      <c r="AJ48"/>
    </row>
    <row r="49" spans="1:36" ht="15" thickBot="1" x14ac:dyDescent="0.4">
      <c r="A49" s="3"/>
      <c r="B49" s="3"/>
      <c r="C49" s="55" t="s">
        <v>30</v>
      </c>
      <c r="D49" s="231">
        <f>D5</f>
        <v>55</v>
      </c>
      <c r="E49" s="232"/>
      <c r="F49" s="232"/>
      <c r="G49" s="232"/>
      <c r="H49" s="232"/>
      <c r="I49" s="232"/>
      <c r="J49" s="232"/>
      <c r="K49" s="232"/>
      <c r="L49" s="233"/>
      <c r="M49" s="3" t="s">
        <v>22</v>
      </c>
      <c r="N49" s="231">
        <f>N5</f>
        <v>57</v>
      </c>
      <c r="O49" s="232"/>
      <c r="P49" s="232"/>
      <c r="Q49" s="232"/>
      <c r="R49" s="232"/>
      <c r="S49" s="232"/>
      <c r="T49" s="232"/>
      <c r="U49" s="233"/>
      <c r="V49" s="6"/>
      <c r="W49" s="3"/>
      <c r="X49" s="3"/>
      <c r="Y49" s="3"/>
      <c r="Z49" s="3"/>
      <c r="AA49" s="3"/>
      <c r="AH49"/>
      <c r="AI49"/>
      <c r="AJ49"/>
    </row>
    <row r="50" spans="1:36" ht="15" thickBo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c r="AA50" s="9"/>
      <c r="AH50"/>
      <c r="AI50"/>
      <c r="AJ50"/>
    </row>
    <row r="51" spans="1:36" ht="15" thickBot="1" x14ac:dyDescent="0.4">
      <c r="A51" s="3"/>
      <c r="B51" s="3"/>
      <c r="C51" s="242" t="s">
        <v>25</v>
      </c>
      <c r="D51" s="243"/>
      <c r="E51" s="244">
        <f>E7</f>
        <v>22101</v>
      </c>
      <c r="F51" s="245"/>
      <c r="G51" s="245"/>
      <c r="H51" s="245"/>
      <c r="I51" s="245"/>
      <c r="J51" s="245"/>
      <c r="K51" s="245"/>
      <c r="L51" s="246"/>
      <c r="M51" s="3"/>
      <c r="N51" s="239" t="s">
        <v>53</v>
      </c>
      <c r="O51" s="240"/>
      <c r="P51" s="240"/>
      <c r="Q51" s="240"/>
      <c r="R51" s="240"/>
      <c r="S51" s="240"/>
      <c r="T51" s="240"/>
      <c r="U51" s="240"/>
      <c r="V51" s="240"/>
      <c r="W51" s="240"/>
      <c r="X51" s="241"/>
      <c r="Y51" s="255" t="s">
        <v>54</v>
      </c>
      <c r="Z51" s="256"/>
      <c r="AA51" s="9"/>
      <c r="AH51"/>
      <c r="AI51"/>
      <c r="AJ51"/>
    </row>
    <row r="52" spans="1:36" ht="14.5" x14ac:dyDescent="0.35">
      <c r="A52" s="3"/>
      <c r="B52" s="3"/>
      <c r="C52" s="234" t="s">
        <v>26</v>
      </c>
      <c r="D52" s="235"/>
      <c r="E52" s="247">
        <f>E8</f>
        <v>45125</v>
      </c>
      <c r="F52" s="248"/>
      <c r="G52" s="248"/>
      <c r="H52" s="248"/>
      <c r="I52" s="248"/>
      <c r="J52" s="248"/>
      <c r="K52" s="248"/>
      <c r="L52" s="249"/>
      <c r="M52" s="3"/>
      <c r="N52" s="250" t="s">
        <v>232</v>
      </c>
      <c r="O52" s="251" t="s">
        <v>226</v>
      </c>
      <c r="P52" s="251" t="s">
        <v>226</v>
      </c>
      <c r="Q52" s="251" t="s">
        <v>226</v>
      </c>
      <c r="R52" s="251" t="s">
        <v>226</v>
      </c>
      <c r="S52" s="251" t="s">
        <v>226</v>
      </c>
      <c r="T52" s="251" t="s">
        <v>226</v>
      </c>
      <c r="U52" s="251" t="s">
        <v>226</v>
      </c>
      <c r="V52" s="251" t="s">
        <v>226</v>
      </c>
      <c r="W52" s="251" t="s">
        <v>226</v>
      </c>
      <c r="X52" s="251" t="s">
        <v>226</v>
      </c>
      <c r="Y52" s="251">
        <v>9</v>
      </c>
      <c r="Z52" s="265"/>
      <c r="AA52" s="9"/>
      <c r="AH52"/>
      <c r="AI52"/>
      <c r="AJ52"/>
    </row>
    <row r="53" spans="1:36" ht="14.5" x14ac:dyDescent="0.35">
      <c r="A53" s="3"/>
      <c r="B53" s="3"/>
      <c r="C53" s="234" t="s">
        <v>27</v>
      </c>
      <c r="D53" s="235"/>
      <c r="E53" s="427" t="str">
        <f>E9</f>
        <v>Starší žiaci U15</v>
      </c>
      <c r="F53" s="428"/>
      <c r="G53" s="428"/>
      <c r="H53" s="428"/>
      <c r="I53" s="428"/>
      <c r="J53" s="428"/>
      <c r="K53" s="428"/>
      <c r="L53" s="429"/>
      <c r="M53" s="3"/>
      <c r="N53" s="252" t="s">
        <v>233</v>
      </c>
      <c r="O53" s="253" t="s">
        <v>227</v>
      </c>
      <c r="P53" s="253" t="s">
        <v>227</v>
      </c>
      <c r="Q53" s="253" t="s">
        <v>227</v>
      </c>
      <c r="R53" s="253" t="s">
        <v>227</v>
      </c>
      <c r="S53" s="253" t="s">
        <v>227</v>
      </c>
      <c r="T53" s="253" t="s">
        <v>227</v>
      </c>
      <c r="U53" s="253" t="s">
        <v>227</v>
      </c>
      <c r="V53" s="253" t="s">
        <v>227</v>
      </c>
      <c r="W53" s="253" t="s">
        <v>227</v>
      </c>
      <c r="X53" s="253" t="s">
        <v>227</v>
      </c>
      <c r="Y53" s="253">
        <v>9</v>
      </c>
      <c r="Z53" s="266"/>
      <c r="AA53" s="9"/>
      <c r="AH53"/>
      <c r="AI53"/>
      <c r="AJ53"/>
    </row>
    <row r="54" spans="1:36" ht="15" thickBot="1" x14ac:dyDescent="0.4">
      <c r="A54" s="3"/>
      <c r="B54" s="3"/>
      <c r="C54" s="234" t="s">
        <v>28</v>
      </c>
      <c r="D54" s="235"/>
      <c r="E54" s="260" t="str">
        <f t="shared" ref="E54" si="14">E10</f>
        <v>Samuel Pacala</v>
      </c>
      <c r="F54" s="261"/>
      <c r="G54" s="261"/>
      <c r="H54" s="261"/>
      <c r="I54" s="261"/>
      <c r="J54" s="261"/>
      <c r="K54" s="261"/>
      <c r="L54" s="262"/>
      <c r="M54" s="3"/>
      <c r="N54" s="257" t="s">
        <v>234</v>
      </c>
      <c r="O54" s="258" t="s">
        <v>228</v>
      </c>
      <c r="P54" s="258" t="s">
        <v>228</v>
      </c>
      <c r="Q54" s="258" t="s">
        <v>228</v>
      </c>
      <c r="R54" s="258" t="s">
        <v>228</v>
      </c>
      <c r="S54" s="258" t="s">
        <v>228</v>
      </c>
      <c r="T54" s="258" t="s">
        <v>228</v>
      </c>
      <c r="U54" s="258" t="s">
        <v>228</v>
      </c>
      <c r="V54" s="258" t="s">
        <v>228</v>
      </c>
      <c r="W54" s="258" t="s">
        <v>228</v>
      </c>
      <c r="X54" s="259" t="s">
        <v>228</v>
      </c>
      <c r="Y54" s="263">
        <v>9</v>
      </c>
      <c r="Z54" s="264"/>
      <c r="AA54" s="9"/>
    </row>
    <row r="55" spans="1:36" ht="15" thickBot="1" x14ac:dyDescent="0.4">
      <c r="A55" s="3"/>
      <c r="B55" s="3"/>
      <c r="C55" s="287" t="s">
        <v>29</v>
      </c>
      <c r="D55" s="288"/>
      <c r="E55" s="289" t="str">
        <f>E11</f>
        <v>ŠBK Junior Levice</v>
      </c>
      <c r="F55" s="290"/>
      <c r="G55" s="290"/>
      <c r="H55" s="290"/>
      <c r="I55" s="290"/>
      <c r="J55" s="290"/>
      <c r="K55" s="290"/>
      <c r="L55" s="291"/>
      <c r="M55" s="3"/>
      <c r="N55" s="9"/>
      <c r="O55" s="9"/>
      <c r="P55" s="9"/>
      <c r="Q55" s="9"/>
      <c r="R55" s="9"/>
      <c r="S55" s="9"/>
      <c r="T55" s="9"/>
      <c r="U55" s="9"/>
      <c r="V55" s="9"/>
      <c r="W55" s="9"/>
      <c r="X55" s="9"/>
      <c r="Y55" s="9"/>
      <c r="Z55" s="3"/>
      <c r="AA55" s="9"/>
    </row>
    <row r="56" spans="1:36" ht="12.75" customHeight="1" x14ac:dyDescent="0.35">
      <c r="A56" s="3"/>
      <c r="B56" s="3"/>
      <c r="C56" s="3"/>
      <c r="D56" s="3"/>
      <c r="E56" s="3"/>
      <c r="F56" s="3"/>
      <c r="G56" s="3"/>
      <c r="H56" s="3"/>
      <c r="I56" s="3"/>
      <c r="J56" s="3"/>
      <c r="K56" s="3"/>
      <c r="L56" s="3"/>
      <c r="M56" s="3"/>
      <c r="N56" s="267" t="s">
        <v>217</v>
      </c>
      <c r="O56" s="268"/>
      <c r="P56" s="268"/>
      <c r="Q56" s="268"/>
      <c r="R56" s="268"/>
      <c r="S56" s="268"/>
      <c r="T56" s="268"/>
      <c r="U56" s="268"/>
      <c r="V56" s="268"/>
      <c r="W56" s="268"/>
      <c r="X56" s="268"/>
      <c r="Y56" s="268"/>
      <c r="Z56" s="269"/>
      <c r="AA56" s="9"/>
    </row>
    <row r="57" spans="1:36" ht="15" customHeight="1" x14ac:dyDescent="0.35">
      <c r="A57" s="3"/>
      <c r="B57" s="3"/>
      <c r="C57" s="3"/>
      <c r="D57" s="3"/>
      <c r="E57" s="3"/>
      <c r="F57" s="3"/>
      <c r="G57" s="3"/>
      <c r="H57" s="3"/>
      <c r="I57" s="3"/>
      <c r="J57" s="3"/>
      <c r="K57" s="3"/>
      <c r="L57" s="3"/>
      <c r="M57" s="3"/>
      <c r="N57" s="270"/>
      <c r="O57" s="271"/>
      <c r="P57" s="271"/>
      <c r="Q57" s="271"/>
      <c r="R57" s="271"/>
      <c r="S57" s="271"/>
      <c r="T57" s="271"/>
      <c r="U57" s="271"/>
      <c r="V57" s="271"/>
      <c r="W57" s="271"/>
      <c r="X57" s="271"/>
      <c r="Y57" s="271"/>
      <c r="Z57" s="272"/>
      <c r="AA57" s="9"/>
    </row>
    <row r="58" spans="1:36" ht="12.75" customHeight="1" x14ac:dyDescent="0.35">
      <c r="A58" s="3"/>
      <c r="B58" s="3"/>
      <c r="C58" s="285" t="s">
        <v>55</v>
      </c>
      <c r="D58" s="285"/>
      <c r="E58" s="285"/>
      <c r="F58" s="285"/>
      <c r="G58" s="285"/>
      <c r="H58" s="285"/>
      <c r="I58" s="285"/>
      <c r="J58" s="285"/>
      <c r="K58" s="285"/>
      <c r="L58" s="285"/>
      <c r="M58" s="3"/>
      <c r="N58" s="270"/>
      <c r="O58" s="271"/>
      <c r="P58" s="271"/>
      <c r="Q58" s="271"/>
      <c r="R58" s="271"/>
      <c r="S58" s="271"/>
      <c r="T58" s="271"/>
      <c r="U58" s="271"/>
      <c r="V58" s="271"/>
      <c r="W58" s="271"/>
      <c r="X58" s="271"/>
      <c r="Y58" s="271"/>
      <c r="Z58" s="272"/>
      <c r="AA58" s="9"/>
    </row>
    <row r="59" spans="1:36" ht="13.5" customHeight="1" thickBot="1" x14ac:dyDescent="0.4">
      <c r="A59" s="3"/>
      <c r="B59" s="3"/>
      <c r="C59" s="285"/>
      <c r="D59" s="285"/>
      <c r="E59" s="285"/>
      <c r="F59" s="285"/>
      <c r="G59" s="285"/>
      <c r="H59" s="285"/>
      <c r="I59" s="285"/>
      <c r="J59" s="285"/>
      <c r="K59" s="285"/>
      <c r="L59" s="285"/>
      <c r="M59" s="3"/>
      <c r="N59" s="273"/>
      <c r="O59" s="274"/>
      <c r="P59" s="274"/>
      <c r="Q59" s="274"/>
      <c r="R59" s="274"/>
      <c r="S59" s="274"/>
      <c r="T59" s="274"/>
      <c r="U59" s="274"/>
      <c r="V59" s="274"/>
      <c r="W59" s="274"/>
      <c r="X59" s="274"/>
      <c r="Y59" s="274"/>
      <c r="Z59" s="275"/>
      <c r="AA59" s="9"/>
    </row>
    <row r="60" spans="1:36" ht="13.5" customHeight="1" thickBot="1" x14ac:dyDescent="0.4">
      <c r="A60" s="3"/>
      <c r="B60" s="3"/>
      <c r="C60" s="286"/>
      <c r="D60" s="286"/>
      <c r="E60" s="286"/>
      <c r="F60" s="286"/>
      <c r="G60" s="286"/>
      <c r="H60" s="286"/>
      <c r="I60" s="286"/>
      <c r="J60" s="286"/>
      <c r="K60" s="286"/>
      <c r="L60" s="286"/>
      <c r="M60" s="3"/>
      <c r="N60" s="3"/>
      <c r="O60" s="3"/>
      <c r="P60" s="3"/>
      <c r="Q60" s="3"/>
      <c r="R60" s="3"/>
      <c r="S60" s="3"/>
      <c r="T60" s="3"/>
      <c r="U60" s="3"/>
      <c r="V60" s="3"/>
      <c r="W60" s="3"/>
      <c r="X60" s="3"/>
      <c r="Y60" s="3"/>
      <c r="Z60" s="3"/>
      <c r="AA60" s="9"/>
    </row>
    <row r="61" spans="1:36" ht="11.25" customHeight="1" x14ac:dyDescent="0.35">
      <c r="A61" s="3"/>
      <c r="B61" s="3"/>
      <c r="C61" s="276" t="s">
        <v>210</v>
      </c>
      <c r="D61" s="277"/>
      <c r="E61" s="277"/>
      <c r="F61" s="277"/>
      <c r="G61" s="277"/>
      <c r="H61" s="277"/>
      <c r="I61" s="277"/>
      <c r="J61" s="277"/>
      <c r="K61" s="277"/>
      <c r="L61" s="277"/>
      <c r="M61" s="277"/>
      <c r="N61" s="277"/>
      <c r="O61" s="277"/>
      <c r="P61" s="277"/>
      <c r="Q61" s="277"/>
      <c r="R61" s="277"/>
      <c r="S61" s="277"/>
      <c r="T61" s="277"/>
      <c r="U61" s="277"/>
      <c r="V61" s="277"/>
      <c r="W61" s="277"/>
      <c r="X61" s="277"/>
      <c r="Y61" s="277"/>
      <c r="Z61" s="278"/>
      <c r="AA61" s="9"/>
    </row>
    <row r="62" spans="1:36" ht="11.25" customHeight="1" x14ac:dyDescent="0.35">
      <c r="A62" s="3"/>
      <c r="B62" s="3"/>
      <c r="C62" s="279"/>
      <c r="D62" s="280"/>
      <c r="E62" s="280"/>
      <c r="F62" s="280"/>
      <c r="G62" s="280"/>
      <c r="H62" s="280"/>
      <c r="I62" s="280"/>
      <c r="J62" s="280"/>
      <c r="K62" s="280"/>
      <c r="L62" s="280"/>
      <c r="M62" s="280"/>
      <c r="N62" s="280"/>
      <c r="O62" s="280"/>
      <c r="P62" s="280"/>
      <c r="Q62" s="280"/>
      <c r="R62" s="280"/>
      <c r="S62" s="280"/>
      <c r="T62" s="280"/>
      <c r="U62" s="280"/>
      <c r="V62" s="280"/>
      <c r="W62" s="280"/>
      <c r="X62" s="280"/>
      <c r="Y62" s="280"/>
      <c r="Z62" s="281"/>
      <c r="AA62" s="9"/>
    </row>
    <row r="63" spans="1:36" ht="11.25" customHeight="1" x14ac:dyDescent="0.35">
      <c r="A63" s="3"/>
      <c r="B63" s="3"/>
      <c r="C63" s="279"/>
      <c r="D63" s="280"/>
      <c r="E63" s="280"/>
      <c r="F63" s="280"/>
      <c r="G63" s="280"/>
      <c r="H63" s="280"/>
      <c r="I63" s="280"/>
      <c r="J63" s="280"/>
      <c r="K63" s="280"/>
      <c r="L63" s="280"/>
      <c r="M63" s="280"/>
      <c r="N63" s="280"/>
      <c r="O63" s="280"/>
      <c r="P63" s="280"/>
      <c r="Q63" s="280"/>
      <c r="R63" s="280"/>
      <c r="S63" s="280"/>
      <c r="T63" s="280"/>
      <c r="U63" s="280"/>
      <c r="V63" s="280"/>
      <c r="W63" s="280"/>
      <c r="X63" s="280"/>
      <c r="Y63" s="280"/>
      <c r="Z63" s="281"/>
      <c r="AA63" s="9"/>
    </row>
    <row r="64" spans="1:36" ht="11.25" customHeight="1" x14ac:dyDescent="0.35">
      <c r="A64" s="3"/>
      <c r="B64" s="3"/>
      <c r="C64" s="279"/>
      <c r="D64" s="280"/>
      <c r="E64" s="280"/>
      <c r="F64" s="280"/>
      <c r="G64" s="280"/>
      <c r="H64" s="280"/>
      <c r="I64" s="280"/>
      <c r="J64" s="280"/>
      <c r="K64" s="280"/>
      <c r="L64" s="280"/>
      <c r="M64" s="280"/>
      <c r="N64" s="280"/>
      <c r="O64" s="280"/>
      <c r="P64" s="280"/>
      <c r="Q64" s="280"/>
      <c r="R64" s="280"/>
      <c r="S64" s="280"/>
      <c r="T64" s="280"/>
      <c r="U64" s="280"/>
      <c r="V64" s="280"/>
      <c r="W64" s="280"/>
      <c r="X64" s="280"/>
      <c r="Y64" s="280"/>
      <c r="Z64" s="281"/>
      <c r="AA64" s="9"/>
    </row>
    <row r="65" spans="1:28" ht="11.25" customHeight="1" x14ac:dyDescent="0.35">
      <c r="A65" s="3"/>
      <c r="B65" s="3"/>
      <c r="C65" s="279"/>
      <c r="D65" s="280"/>
      <c r="E65" s="280"/>
      <c r="F65" s="280"/>
      <c r="G65" s="280"/>
      <c r="H65" s="280"/>
      <c r="I65" s="280"/>
      <c r="J65" s="280"/>
      <c r="K65" s="280"/>
      <c r="L65" s="280"/>
      <c r="M65" s="280"/>
      <c r="N65" s="280"/>
      <c r="O65" s="280"/>
      <c r="P65" s="280"/>
      <c r="Q65" s="280"/>
      <c r="R65" s="280"/>
      <c r="S65" s="280"/>
      <c r="T65" s="280"/>
      <c r="U65" s="280"/>
      <c r="V65" s="280"/>
      <c r="W65" s="280"/>
      <c r="X65" s="280"/>
      <c r="Y65" s="280"/>
      <c r="Z65" s="281"/>
      <c r="AA65" s="9"/>
    </row>
    <row r="66" spans="1:28" ht="11.25" customHeight="1" x14ac:dyDescent="0.35">
      <c r="A66" s="3"/>
      <c r="B66" s="3"/>
      <c r="C66" s="279"/>
      <c r="D66" s="280"/>
      <c r="E66" s="280"/>
      <c r="F66" s="280"/>
      <c r="G66" s="280"/>
      <c r="H66" s="280"/>
      <c r="I66" s="280"/>
      <c r="J66" s="280"/>
      <c r="K66" s="280"/>
      <c r="L66" s="280"/>
      <c r="M66" s="280"/>
      <c r="N66" s="280"/>
      <c r="O66" s="280"/>
      <c r="P66" s="280"/>
      <c r="Q66" s="280"/>
      <c r="R66" s="280"/>
      <c r="S66" s="280"/>
      <c r="T66" s="280"/>
      <c r="U66" s="280"/>
      <c r="V66" s="280"/>
      <c r="W66" s="280"/>
      <c r="X66" s="280"/>
      <c r="Y66" s="280"/>
      <c r="Z66" s="281"/>
      <c r="AA66" s="9"/>
    </row>
    <row r="67" spans="1:28" ht="11.25" customHeight="1" x14ac:dyDescent="0.35">
      <c r="A67" s="3"/>
      <c r="B67" s="3"/>
      <c r="C67" s="279"/>
      <c r="D67" s="280"/>
      <c r="E67" s="280"/>
      <c r="F67" s="280"/>
      <c r="G67" s="280"/>
      <c r="H67" s="280"/>
      <c r="I67" s="280"/>
      <c r="J67" s="280"/>
      <c r="K67" s="280"/>
      <c r="L67" s="280"/>
      <c r="M67" s="280"/>
      <c r="N67" s="280"/>
      <c r="O67" s="280"/>
      <c r="P67" s="280"/>
      <c r="Q67" s="280"/>
      <c r="R67" s="280"/>
      <c r="S67" s="280"/>
      <c r="T67" s="280"/>
      <c r="U67" s="280"/>
      <c r="V67" s="280"/>
      <c r="W67" s="280"/>
      <c r="X67" s="280"/>
      <c r="Y67" s="280"/>
      <c r="Z67" s="281"/>
      <c r="AA67" s="9"/>
    </row>
    <row r="68" spans="1:28" ht="11.25" customHeight="1" x14ac:dyDescent="0.35">
      <c r="A68" s="3"/>
      <c r="B68" s="3"/>
      <c r="C68" s="279"/>
      <c r="D68" s="280"/>
      <c r="E68" s="280"/>
      <c r="F68" s="280"/>
      <c r="G68" s="280"/>
      <c r="H68" s="280"/>
      <c r="I68" s="280"/>
      <c r="J68" s="280"/>
      <c r="K68" s="280"/>
      <c r="L68" s="280"/>
      <c r="M68" s="280"/>
      <c r="N68" s="280"/>
      <c r="O68" s="280"/>
      <c r="P68" s="280"/>
      <c r="Q68" s="280"/>
      <c r="R68" s="280"/>
      <c r="S68" s="280"/>
      <c r="T68" s="280"/>
      <c r="U68" s="280"/>
      <c r="V68" s="280"/>
      <c r="W68" s="280"/>
      <c r="X68" s="280"/>
      <c r="Y68" s="280"/>
      <c r="Z68" s="281"/>
      <c r="AA68" s="9"/>
    </row>
    <row r="69" spans="1:28" ht="11.25" customHeight="1" x14ac:dyDescent="0.35">
      <c r="A69" s="3"/>
      <c r="B69" s="3"/>
      <c r="C69" s="279"/>
      <c r="D69" s="280"/>
      <c r="E69" s="280"/>
      <c r="F69" s="280"/>
      <c r="G69" s="280"/>
      <c r="H69" s="280"/>
      <c r="I69" s="280"/>
      <c r="J69" s="280"/>
      <c r="K69" s="280"/>
      <c r="L69" s="280"/>
      <c r="M69" s="280"/>
      <c r="N69" s="280"/>
      <c r="O69" s="280"/>
      <c r="P69" s="280"/>
      <c r="Q69" s="280"/>
      <c r="R69" s="280"/>
      <c r="S69" s="280"/>
      <c r="T69" s="280"/>
      <c r="U69" s="280"/>
      <c r="V69" s="280"/>
      <c r="W69" s="280"/>
      <c r="X69" s="280"/>
      <c r="Y69" s="280"/>
      <c r="Z69" s="281"/>
      <c r="AA69" s="9"/>
    </row>
    <row r="70" spans="1:28" ht="11.25" customHeight="1" x14ac:dyDescent="0.35">
      <c r="A70" s="3"/>
      <c r="B70" s="3"/>
      <c r="C70" s="279"/>
      <c r="D70" s="280"/>
      <c r="E70" s="280"/>
      <c r="F70" s="280"/>
      <c r="G70" s="280"/>
      <c r="H70" s="280"/>
      <c r="I70" s="280"/>
      <c r="J70" s="280"/>
      <c r="K70" s="280"/>
      <c r="L70" s="280"/>
      <c r="M70" s="280"/>
      <c r="N70" s="280"/>
      <c r="O70" s="280"/>
      <c r="P70" s="280"/>
      <c r="Q70" s="280"/>
      <c r="R70" s="280"/>
      <c r="S70" s="280"/>
      <c r="T70" s="280"/>
      <c r="U70" s="280"/>
      <c r="V70" s="280"/>
      <c r="W70" s="280"/>
      <c r="X70" s="280"/>
      <c r="Y70" s="280"/>
      <c r="Z70" s="281"/>
      <c r="AA70" s="9"/>
    </row>
    <row r="71" spans="1:28" ht="11.25" customHeight="1" x14ac:dyDescent="0.35">
      <c r="A71" s="3"/>
      <c r="B71" s="3"/>
      <c r="C71" s="279"/>
      <c r="D71" s="280"/>
      <c r="E71" s="280"/>
      <c r="F71" s="280"/>
      <c r="G71" s="280"/>
      <c r="H71" s="280"/>
      <c r="I71" s="280"/>
      <c r="J71" s="280"/>
      <c r="K71" s="280"/>
      <c r="L71" s="280"/>
      <c r="M71" s="280"/>
      <c r="N71" s="280"/>
      <c r="O71" s="280"/>
      <c r="P71" s="280"/>
      <c r="Q71" s="280"/>
      <c r="R71" s="280"/>
      <c r="S71" s="280"/>
      <c r="T71" s="280"/>
      <c r="U71" s="280"/>
      <c r="V71" s="280"/>
      <c r="W71" s="280"/>
      <c r="X71" s="280"/>
      <c r="Y71" s="280"/>
      <c r="Z71" s="281"/>
      <c r="AA71" s="9"/>
    </row>
    <row r="72" spans="1:28" ht="11.25" customHeight="1" x14ac:dyDescent="0.35">
      <c r="A72" s="3"/>
      <c r="B72" s="3"/>
      <c r="C72" s="279"/>
      <c r="D72" s="280"/>
      <c r="E72" s="280"/>
      <c r="F72" s="280"/>
      <c r="G72" s="280"/>
      <c r="H72" s="280"/>
      <c r="I72" s="280"/>
      <c r="J72" s="280"/>
      <c r="K72" s="280"/>
      <c r="L72" s="280"/>
      <c r="M72" s="280"/>
      <c r="N72" s="280"/>
      <c r="O72" s="280"/>
      <c r="P72" s="280"/>
      <c r="Q72" s="280"/>
      <c r="R72" s="280"/>
      <c r="S72" s="280"/>
      <c r="T72" s="280"/>
      <c r="U72" s="280"/>
      <c r="V72" s="280"/>
      <c r="W72" s="280"/>
      <c r="X72" s="280"/>
      <c r="Y72" s="280"/>
      <c r="Z72" s="281"/>
      <c r="AA72" s="9"/>
    </row>
    <row r="73" spans="1:28" ht="11.25" customHeight="1" x14ac:dyDescent="0.35">
      <c r="A73" s="3"/>
      <c r="B73" s="3"/>
      <c r="C73" s="279"/>
      <c r="D73" s="280"/>
      <c r="E73" s="280"/>
      <c r="F73" s="280"/>
      <c r="G73" s="280"/>
      <c r="H73" s="280"/>
      <c r="I73" s="280"/>
      <c r="J73" s="280"/>
      <c r="K73" s="280"/>
      <c r="L73" s="280"/>
      <c r="M73" s="280"/>
      <c r="N73" s="280"/>
      <c r="O73" s="280"/>
      <c r="P73" s="280"/>
      <c r="Q73" s="280"/>
      <c r="R73" s="280"/>
      <c r="S73" s="280"/>
      <c r="T73" s="280"/>
      <c r="U73" s="280"/>
      <c r="V73" s="280"/>
      <c r="W73" s="280"/>
      <c r="X73" s="280"/>
      <c r="Y73" s="280"/>
      <c r="Z73" s="281"/>
      <c r="AA73" s="9"/>
    </row>
    <row r="74" spans="1:28" ht="11.25" customHeight="1" x14ac:dyDescent="0.35">
      <c r="A74" s="3"/>
      <c r="B74" s="3"/>
      <c r="C74" s="279"/>
      <c r="D74" s="280"/>
      <c r="E74" s="280"/>
      <c r="F74" s="280"/>
      <c r="G74" s="280"/>
      <c r="H74" s="280"/>
      <c r="I74" s="280"/>
      <c r="J74" s="280"/>
      <c r="K74" s="280"/>
      <c r="L74" s="280"/>
      <c r="M74" s="280"/>
      <c r="N74" s="280"/>
      <c r="O74" s="280"/>
      <c r="P74" s="280"/>
      <c r="Q74" s="280"/>
      <c r="R74" s="280"/>
      <c r="S74" s="280"/>
      <c r="T74" s="280"/>
      <c r="U74" s="280"/>
      <c r="V74" s="280"/>
      <c r="W74" s="280"/>
      <c r="X74" s="280"/>
      <c r="Y74" s="280"/>
      <c r="Z74" s="281"/>
      <c r="AA74" s="9"/>
    </row>
    <row r="75" spans="1:28" ht="11.25" customHeight="1" x14ac:dyDescent="0.35">
      <c r="A75" s="3"/>
      <c r="B75" s="3"/>
      <c r="C75" s="279"/>
      <c r="D75" s="280"/>
      <c r="E75" s="280"/>
      <c r="F75" s="280"/>
      <c r="G75" s="280"/>
      <c r="H75" s="280"/>
      <c r="I75" s="280"/>
      <c r="J75" s="280"/>
      <c r="K75" s="280"/>
      <c r="L75" s="280"/>
      <c r="M75" s="280"/>
      <c r="N75" s="280"/>
      <c r="O75" s="280"/>
      <c r="P75" s="280"/>
      <c r="Q75" s="280"/>
      <c r="R75" s="280"/>
      <c r="S75" s="280"/>
      <c r="T75" s="280"/>
      <c r="U75" s="280"/>
      <c r="V75" s="280"/>
      <c r="W75" s="280"/>
      <c r="X75" s="280"/>
      <c r="Y75" s="280"/>
      <c r="Z75" s="281"/>
      <c r="AA75" s="9"/>
    </row>
    <row r="76" spans="1:28" ht="11.25" customHeight="1" thickBot="1" x14ac:dyDescent="0.4">
      <c r="A76" s="3"/>
      <c r="B76" s="3"/>
      <c r="C76" s="282"/>
      <c r="D76" s="283"/>
      <c r="E76" s="283"/>
      <c r="F76" s="283"/>
      <c r="G76" s="283"/>
      <c r="H76" s="283"/>
      <c r="I76" s="283"/>
      <c r="J76" s="283"/>
      <c r="K76" s="283"/>
      <c r="L76" s="283"/>
      <c r="M76" s="283"/>
      <c r="N76" s="283"/>
      <c r="O76" s="283"/>
      <c r="P76" s="283"/>
      <c r="Q76" s="283"/>
      <c r="R76" s="283"/>
      <c r="S76" s="283"/>
      <c r="T76" s="283"/>
      <c r="U76" s="283"/>
      <c r="V76" s="283"/>
      <c r="W76" s="283"/>
      <c r="X76" s="283"/>
      <c r="Y76" s="283"/>
      <c r="Z76" s="284"/>
      <c r="AA76" s="9"/>
    </row>
    <row r="77" spans="1:28" ht="9"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8" ht="14.25" customHeight="1" x14ac:dyDescent="0.35">
      <c r="A78" s="3"/>
      <c r="B78" s="3"/>
      <c r="C78" s="254" t="s">
        <v>118</v>
      </c>
      <c r="D78" s="254"/>
      <c r="E78" s="254"/>
      <c r="F78" s="254"/>
      <c r="G78" s="254"/>
      <c r="H78" s="254"/>
      <c r="I78" s="254"/>
      <c r="J78" s="254"/>
      <c r="K78" s="254"/>
      <c r="L78" s="254"/>
      <c r="M78" s="254"/>
      <c r="N78" s="254"/>
      <c r="O78" s="254"/>
      <c r="P78" s="254"/>
      <c r="Q78" s="254"/>
      <c r="R78" s="254"/>
      <c r="S78" s="254"/>
      <c r="T78" s="254"/>
      <c r="U78" s="254"/>
      <c r="V78" s="254"/>
      <c r="W78" s="254"/>
      <c r="X78" s="254"/>
      <c r="Y78" s="254"/>
      <c r="Z78" s="254"/>
      <c r="AA78" s="3"/>
    </row>
    <row r="79" spans="1:28" ht="15" customHeight="1" x14ac:dyDescent="0.35">
      <c r="A79"/>
      <c r="B79"/>
      <c r="C79"/>
      <c r="D79"/>
      <c r="E79"/>
      <c r="F79"/>
      <c r="G79"/>
      <c r="H79"/>
      <c r="I79"/>
      <c r="J79"/>
      <c r="K79"/>
      <c r="L79"/>
      <c r="M79"/>
      <c r="N79"/>
      <c r="O79"/>
      <c r="P79"/>
      <c r="Q79"/>
      <c r="R79"/>
      <c r="S79"/>
      <c r="T79"/>
      <c r="U79"/>
      <c r="V79"/>
      <c r="W79"/>
      <c r="X79"/>
      <c r="Y79"/>
      <c r="Z79"/>
      <c r="AA79"/>
      <c r="AB79"/>
    </row>
    <row r="80" spans="1:28" ht="15" customHeight="1" x14ac:dyDescent="0.35">
      <c r="A80"/>
      <c r="B80"/>
      <c r="C80"/>
      <c r="D80"/>
      <c r="E80"/>
      <c r="F80"/>
      <c r="G80"/>
      <c r="H80"/>
      <c r="I80"/>
      <c r="J80"/>
      <c r="K80"/>
      <c r="L80"/>
      <c r="M80"/>
      <c r="N80"/>
      <c r="O80"/>
      <c r="P80"/>
      <c r="Q80"/>
      <c r="R80"/>
      <c r="S80"/>
      <c r="T80"/>
      <c r="U80"/>
      <c r="V80"/>
      <c r="W80"/>
      <c r="X80"/>
      <c r="Y80"/>
      <c r="Z80"/>
      <c r="AA80"/>
      <c r="AB80"/>
    </row>
    <row r="81" spans="1:28" ht="15" customHeight="1" x14ac:dyDescent="0.35">
      <c r="A81"/>
      <c r="B81"/>
      <c r="C81"/>
      <c r="D81"/>
      <c r="E81"/>
      <c r="F81"/>
      <c r="G81"/>
      <c r="H81"/>
      <c r="I81"/>
      <c r="J81"/>
      <c r="K81"/>
      <c r="L81"/>
      <c r="M81"/>
      <c r="N81"/>
      <c r="O81"/>
      <c r="P81"/>
      <c r="Q81"/>
      <c r="R81"/>
      <c r="S81"/>
      <c r="T81"/>
      <c r="U81"/>
      <c r="V81"/>
      <c r="W81"/>
      <c r="X81"/>
      <c r="Y81"/>
      <c r="Z81"/>
      <c r="AA81"/>
      <c r="AB81"/>
    </row>
    <row r="82" spans="1:28" ht="15" customHeight="1" x14ac:dyDescent="0.35">
      <c r="A82"/>
      <c r="B82"/>
      <c r="C82"/>
      <c r="D82"/>
      <c r="E82"/>
      <c r="F82"/>
      <c r="G82"/>
      <c r="H82"/>
      <c r="I82"/>
      <c r="J82"/>
      <c r="K82"/>
      <c r="L82"/>
      <c r="M82"/>
      <c r="N82"/>
      <c r="O82"/>
      <c r="P82"/>
      <c r="Q82"/>
      <c r="R82"/>
      <c r="S82"/>
      <c r="T82"/>
      <c r="U82"/>
      <c r="V82"/>
      <c r="W82"/>
      <c r="X82"/>
      <c r="Y82"/>
      <c r="Z82"/>
      <c r="AA82"/>
      <c r="AB82"/>
    </row>
    <row r="83" spans="1:28" ht="12.75" customHeight="1" x14ac:dyDescent="0.35">
      <c r="A83"/>
      <c r="B83"/>
      <c r="C83"/>
      <c r="D83"/>
      <c r="E83"/>
      <c r="F83"/>
      <c r="G83"/>
      <c r="H83"/>
      <c r="I83"/>
      <c r="J83"/>
      <c r="K83"/>
      <c r="L83"/>
      <c r="M83"/>
      <c r="N83"/>
      <c r="O83"/>
      <c r="P83"/>
      <c r="Q83"/>
      <c r="R83"/>
      <c r="S83"/>
      <c r="T83"/>
      <c r="U83"/>
      <c r="V83"/>
      <c r="W83"/>
      <c r="X83"/>
      <c r="Y83"/>
      <c r="Z83"/>
      <c r="AA83"/>
      <c r="AB83"/>
    </row>
  </sheetData>
  <sheetProtection algorithmName="SHA-512" hashValue="XBEPKUul1j5TtLjLz8XMrICNdPPt8M44rVHbQXrkULjB72OOlip0n/d7iFmdRe9B94WV2MVAceXfTCRNapAiaQ==" saltValue="MX91MMsieDqc3YYDtQihUg==" spinCount="100000" sheet="1" objects="1" scenarios="1"/>
  <mergeCells count="97">
    <mergeCell ref="D5:L5"/>
    <mergeCell ref="N5:U5"/>
    <mergeCell ref="B1:AA1"/>
    <mergeCell ref="D3:L3"/>
    <mergeCell ref="N3:U3"/>
    <mergeCell ref="D4:L4"/>
    <mergeCell ref="N4:U4"/>
    <mergeCell ref="C7:D7"/>
    <mergeCell ref="E7:L7"/>
    <mergeCell ref="P7:W7"/>
    <mergeCell ref="C8:D8"/>
    <mergeCell ref="E8:L8"/>
    <mergeCell ref="P8:W8"/>
    <mergeCell ref="C9:D9"/>
    <mergeCell ref="E9:L9"/>
    <mergeCell ref="P9:W9"/>
    <mergeCell ref="C10:D10"/>
    <mergeCell ref="E10:L10"/>
    <mergeCell ref="P10:W10"/>
    <mergeCell ref="C11:D11"/>
    <mergeCell ref="E11:L11"/>
    <mergeCell ref="P11:W11"/>
    <mergeCell ref="B13:B15"/>
    <mergeCell ref="C13:C15"/>
    <mergeCell ref="D13:D15"/>
    <mergeCell ref="E13:P13"/>
    <mergeCell ref="Q13:Q15"/>
    <mergeCell ref="R13:R15"/>
    <mergeCell ref="S13:S15"/>
    <mergeCell ref="Z13:Z15"/>
    <mergeCell ref="AA13:AA15"/>
    <mergeCell ref="E14:G14"/>
    <mergeCell ref="H14:J14"/>
    <mergeCell ref="K14:M14"/>
    <mergeCell ref="N14:P14"/>
    <mergeCell ref="T13:T15"/>
    <mergeCell ref="U13:U15"/>
    <mergeCell ref="V13:V15"/>
    <mergeCell ref="W13:W15"/>
    <mergeCell ref="X13:X15"/>
    <mergeCell ref="Y13:Y15"/>
    <mergeCell ref="K36:M36"/>
    <mergeCell ref="N36:P36"/>
    <mergeCell ref="B39:G39"/>
    <mergeCell ref="I39:M39"/>
    <mergeCell ref="O39:T39"/>
    <mergeCell ref="B37:C37"/>
    <mergeCell ref="B36:C36"/>
    <mergeCell ref="E36:G36"/>
    <mergeCell ref="H36:J36"/>
    <mergeCell ref="U39:Z39"/>
    <mergeCell ref="B40:C40"/>
    <mergeCell ref="D40:G40"/>
    <mergeCell ref="I40:M40"/>
    <mergeCell ref="O40:T40"/>
    <mergeCell ref="U40:Z40"/>
    <mergeCell ref="B42:C42"/>
    <mergeCell ref="D42:G42"/>
    <mergeCell ref="I42:M42"/>
    <mergeCell ref="O42:T42"/>
    <mergeCell ref="U42:Z43"/>
    <mergeCell ref="B41:C41"/>
    <mergeCell ref="D41:G41"/>
    <mergeCell ref="I41:M41"/>
    <mergeCell ref="O41:T41"/>
    <mergeCell ref="U41:Z41"/>
    <mergeCell ref="Y51:Z51"/>
    <mergeCell ref="B43:C43"/>
    <mergeCell ref="B44:S44"/>
    <mergeCell ref="B45:AA45"/>
    <mergeCell ref="D47:L47"/>
    <mergeCell ref="N47:U47"/>
    <mergeCell ref="D48:L48"/>
    <mergeCell ref="N48:U48"/>
    <mergeCell ref="D49:L49"/>
    <mergeCell ref="N49:U49"/>
    <mergeCell ref="C51:D51"/>
    <mergeCell ref="E51:L51"/>
    <mergeCell ref="N51:X51"/>
    <mergeCell ref="C52:D52"/>
    <mergeCell ref="E52:L52"/>
    <mergeCell ref="N52:X52"/>
    <mergeCell ref="Y52:Z52"/>
    <mergeCell ref="C53:D53"/>
    <mergeCell ref="E53:L53"/>
    <mergeCell ref="N53:X53"/>
    <mergeCell ref="Y53:Z53"/>
    <mergeCell ref="N56:Z59"/>
    <mergeCell ref="C58:L60"/>
    <mergeCell ref="C61:Z76"/>
    <mergeCell ref="C78:Z78"/>
    <mergeCell ref="C54:D54"/>
    <mergeCell ref="E54:L54"/>
    <mergeCell ref="N54:X54"/>
    <mergeCell ref="Y54:Z54"/>
    <mergeCell ref="C55:D55"/>
    <mergeCell ref="E55:L55"/>
  </mergeCells>
  <conditionalFormatting sqref="B16:B35">
    <cfRule type="duplicateValues" dxfId="38" priority="25" stopIfTrue="1"/>
  </conditionalFormatting>
  <conditionalFormatting sqref="C16:C35">
    <cfRule type="duplicateValues" dxfId="37" priority="1"/>
  </conditionalFormatting>
  <conditionalFormatting sqref="C61:Z76">
    <cfRule type="containsBlanks" dxfId="36" priority="13">
      <formula>LEN(TRIM(C61))=0</formula>
    </cfRule>
  </conditionalFormatting>
  <conditionalFormatting sqref="D16:D35">
    <cfRule type="expression" dxfId="35" priority="39">
      <formula>OR(D16&gt;60,D16&lt;0)</formula>
    </cfRule>
  </conditionalFormatting>
  <conditionalFormatting sqref="D37">
    <cfRule type="expression" dxfId="34" priority="36" stopIfTrue="1">
      <formula>AND(ISNUMBER(D37), NOT(OR(D37=0, D37=200, D37=225, D37=250, D37=275, D37=300)))</formula>
    </cfRule>
  </conditionalFormatting>
  <conditionalFormatting sqref="D5:L5">
    <cfRule type="expression" dxfId="33" priority="22">
      <formula>$D$5&lt;&gt;($X$10+$X$11)</formula>
    </cfRule>
  </conditionalFormatting>
  <conditionalFormatting sqref="E16:E35">
    <cfRule type="expression" dxfId="32" priority="38">
      <formula>E16&gt;F16</formula>
    </cfRule>
  </conditionalFormatting>
  <conditionalFormatting sqref="G16:G35">
    <cfRule type="cellIs" dxfId="31" priority="29" operator="greaterThan">
      <formula>100</formula>
    </cfRule>
  </conditionalFormatting>
  <conditionalFormatting sqref="G37">
    <cfRule type="cellIs" dxfId="30" priority="10" operator="greaterThan">
      <formula>100</formula>
    </cfRule>
  </conditionalFormatting>
  <conditionalFormatting sqref="H16:H35">
    <cfRule type="expression" dxfId="29" priority="37">
      <formula>H16&gt;I16</formula>
    </cfRule>
  </conditionalFormatting>
  <conditionalFormatting sqref="J16:J35">
    <cfRule type="cellIs" dxfId="28" priority="28" operator="greaterThan">
      <formula>100</formula>
    </cfRule>
  </conditionalFormatting>
  <conditionalFormatting sqref="J37">
    <cfRule type="cellIs" dxfId="27" priority="9" operator="greaterThan">
      <formula>100</formula>
    </cfRule>
  </conditionalFormatting>
  <conditionalFormatting sqref="M16:M35">
    <cfRule type="cellIs" dxfId="26" priority="27" operator="greaterThan">
      <formula>100</formula>
    </cfRule>
  </conditionalFormatting>
  <conditionalFormatting sqref="M37">
    <cfRule type="cellIs" dxfId="25" priority="12" operator="greaterThan">
      <formula>100</formula>
    </cfRule>
  </conditionalFormatting>
  <conditionalFormatting sqref="N16:N35">
    <cfRule type="expression" dxfId="24" priority="2">
      <formula>N16&gt;O16</formula>
    </cfRule>
  </conditionalFormatting>
  <conditionalFormatting sqref="N5:U5">
    <cfRule type="expression" dxfId="23" priority="21">
      <formula>$N$5&lt;&gt;($Y$10+$Y$11)</formula>
    </cfRule>
  </conditionalFormatting>
  <conditionalFormatting sqref="N52:Z54">
    <cfRule type="containsBlanks" dxfId="22" priority="14">
      <formula>LEN(TRIM(N52))=0</formula>
    </cfRule>
  </conditionalFormatting>
  <conditionalFormatting sqref="O17:O35">
    <cfRule type="expression" dxfId="21" priority="15">
      <formula>O17&gt;50</formula>
    </cfRule>
  </conditionalFormatting>
  <conditionalFormatting sqref="P16:P35">
    <cfRule type="cellIs" dxfId="20" priority="26" operator="greaterThan">
      <formula>100</formula>
    </cfRule>
  </conditionalFormatting>
  <conditionalFormatting sqref="P37">
    <cfRule type="cellIs" dxfId="19" priority="11" operator="greaterThan">
      <formula>100</formula>
    </cfRule>
  </conditionalFormatting>
  <conditionalFormatting sqref="Q37">
    <cfRule type="expression" dxfId="18" priority="19">
      <formula>AND(Q37&lt;&gt;D5, Q37&lt;&gt;N5, Q37&lt;&gt;X9, Q37&lt;&gt;Y9, Q37&lt;&gt;X10, Q37&lt;&gt;Y10)</formula>
    </cfRule>
  </conditionalFormatting>
  <conditionalFormatting sqref="R16:W35">
    <cfRule type="expression" dxfId="17" priority="18">
      <formula>R16&gt;50</formula>
    </cfRule>
  </conditionalFormatting>
  <conditionalFormatting sqref="X7">
    <cfRule type="cellIs" dxfId="16" priority="8" operator="greaterThan">
      <formula>$X$8</formula>
    </cfRule>
  </conditionalFormatting>
  <conditionalFormatting sqref="X8">
    <cfRule type="cellIs" dxfId="15" priority="7" operator="greaterThan">
      <formula>$X$9</formula>
    </cfRule>
    <cfRule type="expression" dxfId="14" priority="35">
      <formula>$X$8&lt;$X$7</formula>
    </cfRule>
  </conditionalFormatting>
  <conditionalFormatting sqref="X9">
    <cfRule type="cellIs" dxfId="13" priority="6" operator="greaterThan">
      <formula>$X$10</formula>
    </cfRule>
    <cfRule type="expression" dxfId="12" priority="33">
      <formula>$X$9&lt;$X$8</formula>
    </cfRule>
  </conditionalFormatting>
  <conditionalFormatting sqref="X10">
    <cfRule type="expression" dxfId="11" priority="24">
      <formula>($X$10+$X$11)&lt;&gt;$D$5</formula>
    </cfRule>
    <cfRule type="expression" dxfId="10" priority="31">
      <formula>$X$10&lt;$X$9</formula>
    </cfRule>
  </conditionalFormatting>
  <conditionalFormatting sqref="X16:X35">
    <cfRule type="expression" dxfId="9" priority="17">
      <formula>X16&gt;5</formula>
    </cfRule>
  </conditionalFormatting>
  <conditionalFormatting sqref="X11:Y11">
    <cfRule type="duplicateValues" dxfId="8" priority="20"/>
  </conditionalFormatting>
  <conditionalFormatting sqref="Y7">
    <cfRule type="cellIs" dxfId="7" priority="5" operator="greaterThan">
      <formula>$Y$8</formula>
    </cfRule>
  </conditionalFormatting>
  <conditionalFormatting sqref="Y8">
    <cfRule type="cellIs" dxfId="6" priority="4" operator="greaterThan">
      <formula>$Y$9</formula>
    </cfRule>
    <cfRule type="expression" dxfId="5" priority="34">
      <formula>$Y$8&lt;$Y$7</formula>
    </cfRule>
  </conditionalFormatting>
  <conditionalFormatting sqref="Y9">
    <cfRule type="cellIs" dxfId="4" priority="3" operator="greaterThan">
      <formula>$Y$10</formula>
    </cfRule>
    <cfRule type="expression" dxfId="3" priority="32">
      <formula>$Y$9&lt;$Y$8</formula>
    </cfRule>
  </conditionalFormatting>
  <conditionalFormatting sqref="Y10">
    <cfRule type="expression" dxfId="2" priority="23">
      <formula>$N$5&lt;&gt;($Y$10+$Y$11)</formula>
    </cfRule>
    <cfRule type="expression" dxfId="1" priority="30">
      <formula>$Y$10&lt;$Y$9</formula>
    </cfRule>
  </conditionalFormatting>
  <conditionalFormatting sqref="Y16:Y35">
    <cfRule type="expression" dxfId="0" priority="16">
      <formula>Y16&gt;50</formula>
    </cfRule>
  </conditionalFormatting>
  <dataValidations count="11">
    <dataValidation type="whole" operator="greaterThan" allowBlank="1" showInputMessage="1" showErrorMessage="1" errorTitle="CHYBA" error="Zadajte len kladné čísla." sqref="R16:Y35 R36:S36 U36:V36 X36:Y36 E16:F35 H16:I35 N16:O35" xr:uid="{14F23E77-5B62-457A-9B8A-7958CA4EA6A4}">
      <formula1>-1</formula1>
    </dataValidation>
    <dataValidation type="whole" allowBlank="1" showInputMessage="1" showErrorMessage="1" errorTitle="CHYBA" error="Zadajte správne číslo zápasu." promptTitle="UPOZORNENIE" prompt="NAJVYŠŠIE SÚŤAŽE - 4 čísla - napr. 1301_x000a_VYŠŠIE SÚŤAŽE - 5 čísel - napr. 22101_x000a_NIŽŠIE SÚŤAŽE - 6 čísel - napr. 120199_x000a_ _x000a_MUŽI - začína sa č. 1 - napr. 1###_x000a_ŽENY - začína sa č. 2 - napr. 2###" sqref="E7:L7" xr:uid="{F9467BAA-C0D1-4E18-B433-75EF9568F626}">
      <formula1>1000</formula1>
      <formula2>999999</formula2>
    </dataValidation>
    <dataValidation type="whole" allowBlank="1" showInputMessage="1" showErrorMessage="1" errorTitle="CHYBA" error="Hodnota známok môže byť : 1; 2, 3; 4; 5; 6; 7; 8; 9; 10." promptTitle="UPOZORNENIE" prompt="Rozhodcovia sa hodnotia známkami od 1 do 10. Známka 10 je najlepšie hodnotenie. Ak BK hodnotí výkon rozhodcu známkou 4 a menej, je BK povinný hodnotenie písomne zdôvodniť na tomto tlačive." sqref="Y52:Z54" xr:uid="{9907BD4E-544A-4C0F-9520-1DDEA802A787}">
      <formula1>1</formula1>
      <formula2>10</formula2>
    </dataValidation>
    <dataValidation type="date" errorStyle="warning" allowBlank="1" showInputMessage="1" showErrorMessage="1" errorTitle="ZADÁVATE NEPLATNÝ DÁTUM" error="Zadajte dátum z aktuálneho hracieho obdobia." promptTitle="HRACIE OBDOBIE 2023/24" prompt="Zadajte dátumy od 1.7.2023 do 30.6.2024" sqref="E8:L8" xr:uid="{6E0F6115-A582-463B-A51D-5320FDAD9E24}">
      <formula1>45108</formula1>
      <formula2>45473</formula2>
    </dataValidation>
    <dataValidation type="list" allowBlank="1" showInputMessage="1" showErrorMessage="1" errorTitle="NESPRÁVNY NÁZOV SÚŤAŽE" promptTitle="VYBERTE Z PONUKY" sqref="E9:L9" xr:uid="{F0FEB61C-17FB-48AE-BE5B-2B4187CBA470}">
      <formula1>$AA$16:$AA$42</formula1>
    </dataValidation>
    <dataValidation allowBlank="1" showInputMessage="1" showErrorMessage="1" promptTitle="UPOZORNENIE" prompt="VYPĹŇA SA AUTOMATICKY Z HORNEJ ČASTI FORMULÁRU." sqref="D48:L49 N48:U49 E51:L55" xr:uid="{929D97C0-64A6-4D6D-93A4-F56A91543FA3}"/>
    <dataValidation allowBlank="1" showInputMessage="1" showErrorMessage="1" promptTitle="UPOZORNENIE" prompt="Priezvisko a meno zadajte v tvare: PRIEZVISKO Meno so správnymi interpunkčnými znamienkami podľa súpisky družstva, inak import nebude fungovať." sqref="N52:X54 C16:C35" xr:uid="{AD4C33C5-9DD6-4CC8-8DAA-F8EB5BDC6B1C}"/>
    <dataValidation allowBlank="1" showInputMessage="1" showErrorMessage="1" promptTitle="UPOZORNENIE" prompt="Pri zadávaní remízovéhp stavu predĺženia budú na červeno svietiť obe bunky, ak si želáte ponechať remízu aj po predĺžení, tak prosím ignorujte červené podfarbenie." sqref="X11:Y11" xr:uid="{4BE6E41D-A5A6-4327-A652-93AC9DF0DF36}"/>
    <dataValidation allowBlank="1" showInputMessage="1" showErrorMessage="1" errorTitle="Zadajte len čísla" error="Zadajte čísla od 00, 0, 1.... do 97, 98, 99." sqref="B16:B35" xr:uid="{E52F904F-66CB-40BC-B28A-126355365CE7}"/>
    <dataValidation type="list" allowBlank="1" showInputMessage="1" showErrorMessage="1" errorTitle="Vyberte DOMÁCI alebo HOSTIA" promptTitle="Vyberte zo zoznamu" sqref="E11:L11" xr:uid="{67ADDB4D-F209-4B7E-8A55-CD8EE8730CB9}">
      <formula1>$AA$7:$AA$8</formula1>
    </dataValidation>
    <dataValidation type="whole" allowBlank="1" showInputMessage="1" showErrorMessage="1" errorTitle="Nesprávna hodnota" error="Zadajte len celé kladné číslo" promptTitle="UPOZORNENIE" prompt="ZADAJTE LEN CELÉ ČÍSLA (zaokrúhlovať od ##:3# hore, do ##:2# dole)._x000a__x000a_Inak import nebude fungovať." sqref="D16:D35" xr:uid="{AB8F5C62-DE3A-40CD-A9B8-10FEAB751AFD}">
      <formula1>-100</formula1>
      <formula2>100</formula2>
    </dataValidation>
  </dataValidations>
  <pageMargins left="0.23622047244094491" right="0.23622047244094491" top="0.47244094488188981" bottom="0.51181102362204722" header="0.31496062992125984" footer="0.31496062992125984"/>
  <pageSetup paperSize="9"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Štatistiky</vt:lpstr>
      <vt:lpstr>Záznamový formulár</vt:lpstr>
      <vt:lpstr>Usmernenie</vt:lpstr>
      <vt:lpstr>Verzie</vt:lpstr>
      <vt:lpstr>Príklad vyplnenia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Pacala</dc:creator>
  <cp:lastModifiedBy>Tomáš Chmelan</cp:lastModifiedBy>
  <cp:lastPrinted>2024-06-17T13:29:43Z</cp:lastPrinted>
  <dcterms:created xsi:type="dcterms:W3CDTF">2023-05-01T13:26:08Z</dcterms:created>
  <dcterms:modified xsi:type="dcterms:W3CDTF">2026-03-26T15:22:50Z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b06f7c-67b3-4378-9520-77f0faaa044a_Enabled">
    <vt:lpwstr>true</vt:lpwstr>
  </property>
  <property fmtid="{D5CDD505-2E9C-101B-9397-08002B2CF9AE}" pid="3" name="MSIP_Label_cbb06f7c-67b3-4378-9520-77f0faaa044a_SetDate">
    <vt:lpwstr>2023-05-23T21:06:44Z</vt:lpwstr>
  </property>
  <property fmtid="{D5CDD505-2E9C-101B-9397-08002B2CF9AE}" pid="4" name="MSIP_Label_cbb06f7c-67b3-4378-9520-77f0faaa044a_Method">
    <vt:lpwstr>Standard</vt:lpwstr>
  </property>
  <property fmtid="{D5CDD505-2E9C-101B-9397-08002B2CF9AE}" pid="5" name="MSIP_Label_cbb06f7c-67b3-4378-9520-77f0faaa044a_Name">
    <vt:lpwstr>AB interní</vt:lpwstr>
  </property>
  <property fmtid="{D5CDD505-2E9C-101B-9397-08002B2CF9AE}" pid="6" name="MSIP_Label_cbb06f7c-67b3-4378-9520-77f0faaa044a_SiteId">
    <vt:lpwstr>5ea5906d-9fd8-479a-8675-576329f9ecfa</vt:lpwstr>
  </property>
  <property fmtid="{D5CDD505-2E9C-101B-9397-08002B2CF9AE}" pid="7" name="MSIP_Label_cbb06f7c-67b3-4378-9520-77f0faaa044a_ActionId">
    <vt:lpwstr>c8f8aaaa-2d9d-4f8c-b0f4-58b20b0b6e22</vt:lpwstr>
  </property>
  <property fmtid="{D5CDD505-2E9C-101B-9397-08002B2CF9AE}" pid="8" name="MSIP_Label_cbb06f7c-67b3-4378-9520-77f0faaa044a_ContentBits">
    <vt:lpwstr>2</vt:lpwstr>
  </property>
</Properties>
</file>